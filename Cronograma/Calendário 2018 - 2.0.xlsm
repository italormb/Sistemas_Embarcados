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talo\Desktop\"/>
    </mc:Choice>
  </mc:AlternateContent>
  <bookViews>
    <workbookView xWindow="0" yWindow="0" windowWidth="20490" windowHeight="7755" tabRatio="887" firstSheet="1" activeTab="5"/>
  </bookViews>
  <sheets>
    <sheet name="Início" sheetId="17" state="hidden" r:id="rId1"/>
    <sheet name="Janeiro" sheetId="1" r:id="rId2"/>
    <sheet name="Fevereiro" sheetId="2" r:id="rId3"/>
    <sheet name="Março" sheetId="3" r:id="rId4"/>
    <sheet name="Abril" sheetId="4" r:id="rId5"/>
    <sheet name="Maio" sheetId="5" r:id="rId6"/>
    <sheet name="Junho" sheetId="6" r:id="rId7"/>
    <sheet name="Julho" sheetId="7" r:id="rId8"/>
    <sheet name="Agosto" sheetId="8" r:id="rId9"/>
    <sheet name="Setembro" sheetId="9" r:id="rId10"/>
    <sheet name="Outubro" sheetId="10" r:id="rId11"/>
    <sheet name="Novembro" sheetId="11" r:id="rId12"/>
    <sheet name="Dezembro" sheetId="12" r:id="rId13"/>
    <sheet name="Contas a Pagar" sheetId="14" r:id="rId14"/>
    <sheet name="Aniversários" sheetId="16" r:id="rId15"/>
  </sheets>
  <definedNames>
    <definedName name="_Dia1" localSheetId="4">Abril!$J$5:$K$7,Abril!$K$4</definedName>
    <definedName name="_Dia1" localSheetId="8">Agosto!$P$5:$Q$7,Agosto!$Q$4</definedName>
    <definedName name="_Dia1" localSheetId="12">Dezembro!$V$5:$W$7,Dezembro!$W$4</definedName>
    <definedName name="_Dia1" localSheetId="2">Fevereiro!$S$4:$S$7,Fevereiro!$R$5:$R$7</definedName>
    <definedName name="_Dia1" localSheetId="1">Janeiro!$M$4,Janeiro!$L$5:$M$7</definedName>
    <definedName name="_Dia1" localSheetId="7">Julho!$J$5:$K$7,Julho!$K$4</definedName>
    <definedName name="_Dia1" localSheetId="6">Junho!$T$5:$U$7,Junho!$U$4</definedName>
    <definedName name="_Dia1" localSheetId="5">Maio!$N$5:$O$7,Maio!$O$4</definedName>
    <definedName name="_Dia1" localSheetId="3">Março!$S$4:$S$7,Março!$R$5:$R$7</definedName>
    <definedName name="_Dia1" localSheetId="10">Outubro!$L$5:$M$7,Outubro!$M$4</definedName>
    <definedName name="_Dia1" localSheetId="9">Setembro!$V$5:$W$7,Setembro!$W$4</definedName>
    <definedName name="_Dia1">Novembro!$R$5:$S$7,Novembro!$S$4</definedName>
    <definedName name="_Dia10" localSheetId="4">Abril!$N$9:$O$11,Abril!$O$8</definedName>
    <definedName name="_Dia10" localSheetId="8">Agosto!$T$9:$U$11,Agosto!$U$8</definedName>
    <definedName name="_Dia10" localSheetId="12">Dezembro!$L$13:$M$15,Dezembro!$M$12</definedName>
    <definedName name="_Dia10" localSheetId="2">Fevereiro!$V$9:$W$11,Fevereiro!$W$8</definedName>
    <definedName name="_Dia10" localSheetId="1">Janeiro!$Q$8,Janeiro!$P$9:$Q$11</definedName>
    <definedName name="_Dia10" localSheetId="7">Julho!$N$9:$O$11,Julho!$O$8</definedName>
    <definedName name="_Dia10" localSheetId="6">Junho!$J$13:$K$15,Junho!$K$12</definedName>
    <definedName name="_Dia10" localSheetId="5">Maio!$R$9:$S$11,Maio!$S$8</definedName>
    <definedName name="_Dia10" localSheetId="3">Março!$V$9:$W$11,Março!$W$8</definedName>
    <definedName name="_Dia10" localSheetId="11">Novembro!$V$9:$W$11,Novembro!$W$8</definedName>
    <definedName name="_Dia10" localSheetId="10">Outubro!$P$9:$Q$11,Outubro!$Q$8</definedName>
    <definedName name="_Dia10" localSheetId="9">Setembro!$L$13:$M$15,Setembro!$M$12</definedName>
    <definedName name="_Dia11" localSheetId="4">Abril!$P$9:$Q$11,Abril!$Q$8</definedName>
    <definedName name="_Dia11" localSheetId="8">Agosto!$V$9:$W$11,Agosto!$W$8</definedName>
    <definedName name="_Dia11" localSheetId="12">Dezembro!$N$13:$O$15,Dezembro!$O$12</definedName>
    <definedName name="_Dia11" localSheetId="2">Fevereiro!$J$13:$K$15,Fevereiro!$K$12</definedName>
    <definedName name="_Dia11" localSheetId="1">Janeiro!$S$8,Janeiro!$R$9:$S$11</definedName>
    <definedName name="_Dia11" localSheetId="7">Julho!$P$9:$Q$11,Julho!$Q$8</definedName>
    <definedName name="_Dia11" localSheetId="6">Junho!$L$13:$M$15,Junho!$M$12</definedName>
    <definedName name="_Dia11" localSheetId="5">Maio!$T$9:$U$11,Maio!$U$8</definedName>
    <definedName name="_Dia11" localSheetId="3">Março!$J$13:$K$15,Março!$K$12</definedName>
    <definedName name="_Dia11" localSheetId="11">Novembro!$J$13:$K$15,Novembro!$K$12</definedName>
    <definedName name="_Dia11" localSheetId="10">Outubro!$R$9:$S$11,Outubro!$S$8</definedName>
    <definedName name="_Dia11" localSheetId="9">Setembro!$N$13:$O$15,Setembro!$O$12</definedName>
    <definedName name="_Dia12" localSheetId="4">Abril!$R$9:$S$11,Abril!$S$8</definedName>
    <definedName name="_Dia12" localSheetId="8">Agosto!$J$13:$K$15,Agosto!$K$12</definedName>
    <definedName name="_Dia12" localSheetId="12">Dezembro!$P$13:$Q$15,Dezembro!$Q$13,Dezembro!$Q$12</definedName>
    <definedName name="_Dia12" localSheetId="2">Fevereiro!$L$13:$M$15,Fevereiro!$M$12</definedName>
    <definedName name="_Dia12" localSheetId="1">Janeiro!$U$8,Janeiro!$T$9:$U$11</definedName>
    <definedName name="_Dia12" localSheetId="7">Julho!$R$9:$S$11,Julho!$S$8</definedName>
    <definedName name="_Dia12" localSheetId="6">Junho!$N$13:$O$15,Junho!$O$12</definedName>
    <definedName name="_Dia12" localSheetId="5">Maio!$V$9:$W$11,Maio!$W$8</definedName>
    <definedName name="_Dia12" localSheetId="3">Março!$L$13:$M$15,Março!$M$12</definedName>
    <definedName name="_Dia12" localSheetId="11">Novembro!$L$13:$M$15,Novembro!$M$12</definedName>
    <definedName name="_Dia12" localSheetId="10">Outubro!$T$9:$U$11,Outubro!$U$8</definedName>
    <definedName name="_Dia12" localSheetId="9">Setembro!$P$13:$Q$15,Setembro!$Q$12</definedName>
    <definedName name="_Dia13" localSheetId="4">Abril!$T$9:$U$11,Abril!$U$8</definedName>
    <definedName name="_Dia13" localSheetId="8">Agosto!$L$13:$M$15,Agosto!$M$12</definedName>
    <definedName name="_Dia13" localSheetId="12">Dezembro!$R$13:$S$15,Dezembro!$S$12</definedName>
    <definedName name="_Dia13" localSheetId="2">Fevereiro!$N$13:$O$15,Fevereiro!$O$12</definedName>
    <definedName name="_Dia13" localSheetId="1">Janeiro!$W$8,Janeiro!$V$9:$W$11</definedName>
    <definedName name="_Dia13" localSheetId="7">Julho!$T$9:$U$11,Julho!$U$8</definedName>
    <definedName name="_Dia13" localSheetId="6">Junho!$P$13:$Q$15,Junho!$Q$12</definedName>
    <definedName name="_Dia13" localSheetId="5">Maio!$J$13:$K$15,Maio!$K$12</definedName>
    <definedName name="_Dia13" localSheetId="3">Março!$N$13:$O$15,Março!$O$12</definedName>
    <definedName name="_Dia13" localSheetId="11">Novembro!$N$13:$O$15,Novembro!$O$12</definedName>
    <definedName name="_Dia13" localSheetId="10">Outubro!$V$9:$W$11,Outubro!$W$8</definedName>
    <definedName name="_Dia13" localSheetId="9">Setembro!$R$13:$S$15,Setembro!$S$12</definedName>
    <definedName name="_Dia14" localSheetId="4">Abril!$V$9:$W$11,Abril!$W$8</definedName>
    <definedName name="_Dia14" localSheetId="8">Agosto!$N$13:$O$15,Agosto!$O$12</definedName>
    <definedName name="_Dia14" localSheetId="12">Dezembro!$T$13:$U$15,Dezembro!$U$12</definedName>
    <definedName name="_Dia14" localSheetId="2">Fevereiro!$P$13:$Q$15,Fevereiro!$Q$12</definedName>
    <definedName name="_Dia14" localSheetId="1">Janeiro!$K$12:$K$15,Janeiro!$J$13:$J$15</definedName>
    <definedName name="_Dia14" localSheetId="7">Julho!$V$9:$W$11,Julho!$W$8</definedName>
    <definedName name="_Dia14" localSheetId="6">Junho!$R$13:$S$15,Junho!$S$12</definedName>
    <definedName name="_Dia14" localSheetId="5">Maio!$L$13:$M$15,Maio!$M$12</definedName>
    <definedName name="_Dia14" localSheetId="3">Março!$P$13:$Q$15,Março!$Q$12</definedName>
    <definedName name="_Dia14" localSheetId="11">Novembro!$P$13:$Q$15,Novembro!$Q$12</definedName>
    <definedName name="_Dia14" localSheetId="10">Outubro!$J$13:$K$15,Outubro!$K$12</definedName>
    <definedName name="_Dia14" localSheetId="9">Setembro!$T$13:$U$15,Setembro!$U$12</definedName>
    <definedName name="_Dia15" localSheetId="4">Abril!$J$13:$K$15,Abril!$K$12</definedName>
    <definedName name="_Dia15" localSheetId="8">Agosto!$P$13:$Q$15,Agosto!$Q$12</definedName>
    <definedName name="_Dia15" localSheetId="12">Dezembro!$V$13:$W$15,Dezembro!$W$12</definedName>
    <definedName name="_Dia15" localSheetId="2">Fevereiro!$R$13:$S$15,Fevereiro!$S$12</definedName>
    <definedName name="_Dia15" localSheetId="1">Janeiro!$M$12:$M$15,Janeiro!$L$13:$L$15</definedName>
    <definedName name="_Dia15" localSheetId="7">Julho!$J$13:$K$15,Julho!$K$12</definedName>
    <definedName name="_Dia15" localSheetId="6">Junho!$T$13:$U$15,Junho!$U$12</definedName>
    <definedName name="_Dia15" localSheetId="5">Maio!$N$13:$O$15,Maio!$O$12</definedName>
    <definedName name="_Dia15" localSheetId="3">Março!$R$13:$S$15,Março!$S$12</definedName>
    <definedName name="_Dia15" localSheetId="11">Novembro!$R$13:$S$15,Novembro!$S$12</definedName>
    <definedName name="_Dia15" localSheetId="10">Outubro!$L$13:$M$15,Outubro!$M$12</definedName>
    <definedName name="_Dia15" localSheetId="9">Setembro!$V$13:$W$15,Setembro!$W$12</definedName>
    <definedName name="_Dia16" localSheetId="4">Abril!$L$13:$M$15,Abril!$M$12</definedName>
    <definedName name="_Dia16" localSheetId="8">Agosto!$R$13:$S$15,Agosto!$S$12</definedName>
    <definedName name="_Dia16" localSheetId="12">Dezembro!$J$17:$K$19,Dezembro!$K$16</definedName>
    <definedName name="_Dia16" localSheetId="2">Fevereiro!$T$13:$U$15,Fevereiro!$U$12</definedName>
    <definedName name="_Dia16" localSheetId="1">Janeiro!$N$13:$N$15,Janeiro!$O$12:$O$15</definedName>
    <definedName name="_Dia16" localSheetId="7">Julho!$L$13:$M$15,Julho!$M$12</definedName>
    <definedName name="_Dia16" localSheetId="6">Junho!$V$13:$W$15,Junho!$W$12</definedName>
    <definedName name="_Dia16" localSheetId="5">Maio!$P$13:$Q$15,Maio!$Q$12</definedName>
    <definedName name="_Dia16" localSheetId="3">Março!$T$13:$U$15,Março!$U$12</definedName>
    <definedName name="_Dia16" localSheetId="11">Novembro!$T$13:$U$15,Novembro!$U$12</definedName>
    <definedName name="_Dia16" localSheetId="10">Outubro!$N$13:$O$15,Outubro!$O$12</definedName>
    <definedName name="_Dia16" localSheetId="9">Setembro!$J$17:$K$19,Setembro!$K$16</definedName>
    <definedName name="_Dia17" localSheetId="4">Abril!$N$13:$O$15,Abril!$O$12</definedName>
    <definedName name="_Dia17" localSheetId="8">Agosto!$T$13:$U$15,Agosto!$U$12</definedName>
    <definedName name="_Dia17" localSheetId="12">Dezembro!$L$17:$M$19,Dezembro!$M$16</definedName>
    <definedName name="_Dia17" localSheetId="2">Fevereiro!$V$13:$W$15,Fevereiro!$W$12</definedName>
    <definedName name="_Dia17" localSheetId="1">Janeiro!$Q$12:$Q$15,Janeiro!$P$13:$P$15</definedName>
    <definedName name="_Dia17" localSheetId="7">Julho!$N$13:$O$15,Julho!$O$12</definedName>
    <definedName name="_Dia17" localSheetId="6">Junho!$J$17:$K$19,Junho!$K$16</definedName>
    <definedName name="_Dia17" localSheetId="5">Maio!$R$13:$S$15,Maio!$S$12</definedName>
    <definedName name="_Dia17" localSheetId="3">Março!$V$13:$W$15,Março!$W$12</definedName>
    <definedName name="_Dia17" localSheetId="11">Novembro!$V$13:$W$15,Novembro!$W$12</definedName>
    <definedName name="_Dia17" localSheetId="10">Outubro!$P$13:$Q$14,Outubro!$Q$12,Outubro!$P$15,Outubro!$Q$15</definedName>
    <definedName name="_Dia17" localSheetId="9">Setembro!$L$17:$M$19,Setembro!$M$16</definedName>
    <definedName name="_Dia18" localSheetId="4">Abril!$P$13:$Q$15,Abril!$Q$12</definedName>
    <definedName name="_Dia18" localSheetId="8">Agosto!$V$13:$W$15,Agosto!$W$12</definedName>
    <definedName name="_Dia18" localSheetId="12">Dezembro!$N$17:$O$19,Dezembro!$O$16</definedName>
    <definedName name="_Dia18" localSheetId="2">Fevereiro!$J$17:$K$19,Fevereiro!$K$16</definedName>
    <definedName name="_Dia18" localSheetId="1">Janeiro!$S$12:$S$15,Janeiro!$R$13:$R$15</definedName>
    <definedName name="_Dia18" localSheetId="7">Julho!$P$13:$Q$15,Julho!$Q$12</definedName>
    <definedName name="_Dia18" localSheetId="6">Junho!$L$17:$M$19,Junho!$M$16</definedName>
    <definedName name="_Dia18" localSheetId="5">Maio!$T$13:$U$15,Maio!$U$12</definedName>
    <definedName name="_Dia18" localSheetId="3">Março!$J$17:$K$19,Março!$K$16</definedName>
    <definedName name="_Dia18" localSheetId="11">Novembro!$J$17:$K$19,Novembro!$K$16</definedName>
    <definedName name="_Dia18" localSheetId="10">Outubro!$R$13:$S$15,Outubro!$S$12</definedName>
    <definedName name="_Dia18" localSheetId="9">Setembro!$N$17:$O$19,Setembro!$O$16</definedName>
    <definedName name="_Dia19" localSheetId="4">Abril!$R$13:$S$15,Abril!$S$12</definedName>
    <definedName name="_Dia19" localSheetId="8">Agosto!$J$17:$K$19,Agosto!$K$16</definedName>
    <definedName name="_Dia19" localSheetId="12">Dezembro!$P$17:$Q$19,Dezembro!$Q$16</definedName>
    <definedName name="_Dia19" localSheetId="2">Fevereiro!$L$17:$M$19,Fevereiro!$M$16</definedName>
    <definedName name="_Dia19" localSheetId="1">Janeiro!$U$12:$U$15,Janeiro!$T$13:$T$15</definedName>
    <definedName name="_Dia19" localSheetId="7">Julho!$R$13:$S$15,Julho!$S$12</definedName>
    <definedName name="_Dia19" localSheetId="6">Junho!$N$17:$O$19,Junho!$O$16</definedName>
    <definedName name="_Dia19" localSheetId="5">Maio!$V$13:$W$15,Maio!$W$12</definedName>
    <definedName name="_Dia19" localSheetId="3">Março!$L$17:$M$19,Março!$M$16</definedName>
    <definedName name="_Dia19" localSheetId="11">Novembro!$L$17:$M$19,Novembro!$M$16</definedName>
    <definedName name="_Dia19" localSheetId="10">Outubro!$T$13:$U$15,Outubro!$U$12</definedName>
    <definedName name="_Dia19" localSheetId="9">Setembro!$P$17:$Q$19,Setembro!$Q$16</definedName>
    <definedName name="_Dia2" localSheetId="4">Abril!$M$4:$M$7,Abril!$L$5:$L$7</definedName>
    <definedName name="_Dia2" localSheetId="8">Agosto!$R$5:$S$7,Agosto!$S$4</definedName>
    <definedName name="_Dia2" localSheetId="12">Dezembro!$J$9:$K$11,Dezembro!$K$8</definedName>
    <definedName name="_Dia2" localSheetId="2">Fevereiro!$T$5:$U$7,Fevereiro!$U$4</definedName>
    <definedName name="_Dia2" localSheetId="1">Janeiro!$N$5:$O$7,Janeiro!$O$4</definedName>
    <definedName name="_Dia2" localSheetId="7">Julho!$L$5:$M$7,Julho!$M$4</definedName>
    <definedName name="_Dia2" localSheetId="6">Junho!$V$5:$W$7,Junho!$W$4</definedName>
    <definedName name="_Dia2" localSheetId="5">Maio!$P$5:$Q$7,Maio!$Q$4</definedName>
    <definedName name="_Dia2" localSheetId="3">Março!$U$4:$U$7,Março!$T$5:$T$7</definedName>
    <definedName name="_Dia2" localSheetId="11">Novembro!$T$5:$U$7,Novembro!$U$4</definedName>
    <definedName name="_Dia2" localSheetId="10">Outubro!$N$5:$O$7,Outubro!$O$4</definedName>
    <definedName name="_Dia2" localSheetId="9">Setembro!$J$9:$K$11,Setembro!$K$8</definedName>
    <definedName name="_Dia20" localSheetId="4">Abril!$T$13:$U$15,Abril!$U$12</definedName>
    <definedName name="_Dia20" localSheetId="8">Agosto!$L$17:$M$19,Agosto!$M$16</definedName>
    <definedName name="_Dia20" localSheetId="12">Dezembro!$R$17:$S$19,Dezembro!$S$16</definedName>
    <definedName name="_Dia20" localSheetId="2">Fevereiro!$N$17:$O$19,Fevereiro!$O$16</definedName>
    <definedName name="_Dia20" localSheetId="1">Janeiro!$W$12:$W$15,Janeiro!$V$13:$V$15</definedName>
    <definedName name="_Dia20" localSheetId="7">Julho!$T$13:$U$15,Julho!$U$12</definedName>
    <definedName name="_Dia20" localSheetId="6">Junho!$P$17:$Q$19,Junho!$Q$16</definedName>
    <definedName name="_Dia20" localSheetId="5">Maio!$J$17:$K$19,Maio!$K$16</definedName>
    <definedName name="_Dia20" localSheetId="3">Março!$N$17:$O$19,Março!$O$16</definedName>
    <definedName name="_Dia20" localSheetId="11">Novembro!$N$17:$O$19,Novembro!$O$16</definedName>
    <definedName name="_Dia20" localSheetId="10">Outubro!$V$13:$W$15,Outubro!$W$12</definedName>
    <definedName name="_Dia20" localSheetId="9">Setembro!$R$17:$S$19,Setembro!$S$16</definedName>
    <definedName name="_Dia21" localSheetId="4">Abril!$V$13:$W$15,Abril!$W$12</definedName>
    <definedName name="_Dia21" localSheetId="8">Agosto!$N$17:$O$19,Agosto!$O$16</definedName>
    <definedName name="_Dia21" localSheetId="12">Dezembro!$T$17:$U$19,Dezembro!$U$16</definedName>
    <definedName name="_Dia21" localSheetId="2">Fevereiro!$P$17:$Q$19,Fevereiro!$Q$16</definedName>
    <definedName name="_Dia21" localSheetId="1">Janeiro!$J$17:$J$19,Janeiro!$K$16:$K$19</definedName>
    <definedName name="_Dia21" localSheetId="7">Julho!$V$13:$W$15,Julho!$W$12</definedName>
    <definedName name="_Dia21" localSheetId="6">Junho!$R$17:$S$19,Junho!$S$16</definedName>
    <definedName name="_Dia21" localSheetId="5">Maio!$L$17:$M$19,Maio!$M$16</definedName>
    <definedName name="_Dia21" localSheetId="3">Março!$P$17:$Q$19,Março!$Q$16</definedName>
    <definedName name="_Dia21" localSheetId="11">Novembro!$P$17:$Q$19,Novembro!$Q$16</definedName>
    <definedName name="_Dia21" localSheetId="10">Outubro!$J$17:$K$19,Outubro!$K$16</definedName>
    <definedName name="_Dia21" localSheetId="9">Setembro!$T$17:$U$19,Setembro!$U$16</definedName>
    <definedName name="_Dia22" localSheetId="4">Abril!$J$17:$K$19,Abril!$K$16</definedName>
    <definedName name="_Dia22" localSheetId="8">Agosto!$P$17:$Q$19,Agosto!$Q$16</definedName>
    <definedName name="_Dia22" localSheetId="12">Dezembro!$V$17:$W$19,Dezembro!$W$16</definedName>
    <definedName name="_Dia22" localSheetId="2">Fevereiro!$R$17:$S$19,Fevereiro!$S$16</definedName>
    <definedName name="_Dia22" localSheetId="1">Janeiro!$M$16:$M$19,Janeiro!$L$17:$L$19</definedName>
    <definedName name="_Dia22" localSheetId="7">Julho!$J$17:$K$19,Julho!$K$16</definedName>
    <definedName name="_Dia22" localSheetId="6">Junho!$T$17:$U$19,Junho!$U$16</definedName>
    <definedName name="_Dia22" localSheetId="5">Maio!$N$17:$O$19,Maio!$O$16</definedName>
    <definedName name="_Dia22" localSheetId="3">Março!$R$17:$S$19,Março!$S$16</definedName>
    <definedName name="_Dia22" localSheetId="11">Novembro!$R$17:$S$19,Novembro!$S$16</definedName>
    <definedName name="_Dia22" localSheetId="10">Outubro!$L$17:$M$19,Outubro!$M$16</definedName>
    <definedName name="_Dia22" localSheetId="9">Setembro!$V$17:$W$19,Setembro!$W$16</definedName>
    <definedName name="_Dia23" localSheetId="4">Abril!$L$17:$M$19,Abril!$M$16</definedName>
    <definedName name="_Dia23" localSheetId="8">Agosto!$R$17:$S$19,Agosto!$S$16</definedName>
    <definedName name="_Dia23" localSheetId="12">Dezembro!$J$21:$K$23,Dezembro!$K$20</definedName>
    <definedName name="_Dia23" localSheetId="2">Fevereiro!$T$17:$U$19,Fevereiro!$U$16</definedName>
    <definedName name="_Dia23" localSheetId="1">Janeiro!$O$16:$O$19,Janeiro!$N$17:$N$19</definedName>
    <definedName name="_Dia23" localSheetId="7">Julho!$L$17:$M$19,Julho!$M$16</definedName>
    <definedName name="_Dia23" localSheetId="6">Junho!$V$17:$W$19,Junho!$W$16</definedName>
    <definedName name="_Dia23" localSheetId="5">Maio!$P$17:$Q$19,Maio!$Q$16</definedName>
    <definedName name="_Dia23" localSheetId="3">Março!$T$17:$U$19,Março!$U$16</definedName>
    <definedName name="_Dia23" localSheetId="11">Novembro!$T$17:$U$19,Novembro!$U$16</definedName>
    <definedName name="_Dia23" localSheetId="10">Outubro!$N$17:$O$18,Outubro!$N$19:$O$19,Outubro!$O$16</definedName>
    <definedName name="_Dia23" localSheetId="9">Setembro!$J$21:$K$23,Setembro!$K$20</definedName>
    <definedName name="_Dia24" localSheetId="4">Abril!$N$17:$O$19,Abril!$O$16</definedName>
    <definedName name="_Dia24" localSheetId="8">Agosto!$T$17:$U$19,Agosto!$U$16</definedName>
    <definedName name="_Dia24" localSheetId="12">Dezembro!$L$21:$M$23,Dezembro!$M$20</definedName>
    <definedName name="_Dia24" localSheetId="2">Fevereiro!$V$17:$W$19,Fevereiro!$W$16</definedName>
    <definedName name="_Dia24" localSheetId="1">Janeiro!$Q$16:$Q$19,Janeiro!$P$17:$P$19</definedName>
    <definedName name="_Dia24" localSheetId="7">Julho!$N$17:$O$19,Julho!$O$16</definedName>
    <definedName name="_Dia24" localSheetId="6">Junho!$J$21:$K$23,Junho!$K$20</definedName>
    <definedName name="_Dia24" localSheetId="5">Maio!$R$17:$S$19,Maio!$S$16</definedName>
    <definedName name="_Dia24" localSheetId="3">Março!$V$17:$W$19,Março!$W$16</definedName>
    <definedName name="_Dia24" localSheetId="11">Novembro!$V$17:$W$19,Novembro!$W$16</definedName>
    <definedName name="_Dia24" localSheetId="10">Outubro!$P$17:$Q$19,Outubro!$Q$16</definedName>
    <definedName name="_Dia24" localSheetId="9">Setembro!$L$21:$M$22,Setembro!$M$23,Setembro!$L$23,Setembro!$M$20</definedName>
    <definedName name="_Dia25" localSheetId="4">Abril!$P$17:$Q$19,Abril!$Q$16</definedName>
    <definedName name="_Dia25" localSheetId="8">Agosto!$V$17:$W$19,Agosto!$W$16</definedName>
    <definedName name="_Dia25" localSheetId="12">Dezembro!$N$21:$O$23,Dezembro!$O$20</definedName>
    <definedName name="_Dia25" localSheetId="2">Fevereiro!$J$21:$K$23,Fevereiro!$K$20</definedName>
    <definedName name="_Dia25" localSheetId="1">Janeiro!$S$16:$S$19,Janeiro!$R$17:$R$19</definedName>
    <definedName name="_Dia25" localSheetId="7">Julho!$P$17:$Q$19,Julho!$Q$16</definedName>
    <definedName name="_Dia25" localSheetId="6">Junho!$L$21:$M$23,Junho!$M$20</definedName>
    <definedName name="_Dia25" localSheetId="5">Maio!$T$17:$U$19,Maio!$U$16</definedName>
    <definedName name="_Dia25" localSheetId="3">Março!$K$20:$K$23,Março!$J$21:$J$23</definedName>
    <definedName name="_Dia25" localSheetId="11">Novembro!$J$21:$K$23,Novembro!$K$20</definedName>
    <definedName name="_Dia25" localSheetId="10">Outubro!$R$17:$S$19,Outubro!$S$16</definedName>
    <definedName name="_Dia25" localSheetId="9">Setembro!$N$21:$O$23,Setembro!$O$20</definedName>
    <definedName name="_Dia26" localSheetId="4">Abril!$R$17:$S$19,Abril!$S$16</definedName>
    <definedName name="_Dia26" localSheetId="8">Agosto!$J$21:$K$23,Agosto!$K$20</definedName>
    <definedName name="_Dia26" localSheetId="12">Dezembro!$P$21:$Q$23,Dezembro!$Q$20</definedName>
    <definedName name="_Dia26" localSheetId="2">Fevereiro!$L$21:$M$23,Fevereiro!$M$20</definedName>
    <definedName name="_Dia26" localSheetId="1">Janeiro!$U$16:$U$19,Janeiro!$T$17:$T$19</definedName>
    <definedName name="_Dia26" localSheetId="7">Julho!$R$17:$S$19,Julho!$S$16</definedName>
    <definedName name="_Dia26" localSheetId="6">Junho!$N$21:$O$23,Junho!$O$20</definedName>
    <definedName name="_Dia26" localSheetId="5">Maio!$V$17:$W$19,Maio!$W$16</definedName>
    <definedName name="_Dia26" localSheetId="3">Março!$L$21:$M$23,Março!$M$20</definedName>
    <definedName name="_Dia26" localSheetId="11">Novembro!$L$21:$M$23,Novembro!$M$20</definedName>
    <definedName name="_Dia26" localSheetId="10">Outubro!$T$17:$U$19,Outubro!$U$16</definedName>
    <definedName name="_Dia26" localSheetId="9">Setembro!$P$21:$Q$23,Setembro!$Q$20</definedName>
    <definedName name="_Dia27" localSheetId="4">Abril!$T$17:$U$19,Abril!$U$16</definedName>
    <definedName name="_Dia27" localSheetId="8">Agosto!$L$21:$M$22,Agosto!$M$20,Agosto!$L$23:$M$23</definedName>
    <definedName name="_Dia27" localSheetId="12">Dezembro!$R$21:$S$23,Dezembro!$S$20</definedName>
    <definedName name="_Dia27" localSheetId="2">Fevereiro!$N$21:$O$23,Fevereiro!$O$20</definedName>
    <definedName name="_Dia27" localSheetId="1">Janeiro!$W$16:$W$18,Janeiro!$V$17:$V$19,Janeiro!$W$19</definedName>
    <definedName name="_Dia27" localSheetId="7">Julho!$T$17:$U$19,Julho!$U$16</definedName>
    <definedName name="_Dia27" localSheetId="6">Junho!$P$21:$Q$23,Junho!$Q$20</definedName>
    <definedName name="_Dia27" localSheetId="5">Maio!$J$21:$K$23,Maio!$K$20</definedName>
    <definedName name="_Dia27" localSheetId="3">Março!$N$21:$O$23,Março!$O$20</definedName>
    <definedName name="_Dia27" localSheetId="11">Novembro!$N$21:$O$23,Novembro!$O$20</definedName>
    <definedName name="_Dia27" localSheetId="10">Outubro!$V$17:$W$19,Outubro!$W$16</definedName>
    <definedName name="_Dia27" localSheetId="9">Setembro!$R$21:$S$23,Setembro!$S$20</definedName>
    <definedName name="_Dia28" localSheetId="4">Abril!$V$17:$W$19,Abril!$W$16</definedName>
    <definedName name="_Dia28" localSheetId="8">Agosto!$N$21:$O$23,Agosto!$O$20</definedName>
    <definedName name="_Dia28" localSheetId="12">Dezembro!$T$21:$U$23,Dezembro!$U$20</definedName>
    <definedName name="_Dia28" localSheetId="2">Fevereiro!$P$21:$Q$23,Fevereiro!$Q$20</definedName>
    <definedName name="_Dia28" localSheetId="1">Janeiro!$K$20:$K$23,Janeiro!$J$21,Janeiro!$J$22,Janeiro!$J$23</definedName>
    <definedName name="_Dia28" localSheetId="7">Julho!$V$17:$W$19,Julho!$W$16</definedName>
    <definedName name="_Dia28" localSheetId="6">Junho!$R$21:$S$23,Junho!$S$20</definedName>
    <definedName name="_Dia28" localSheetId="5">Maio!$L$21:$M$23,Maio!$M$20</definedName>
    <definedName name="_Dia28" localSheetId="3">Março!$P$21:$Q$23,Março!$Q$20</definedName>
    <definedName name="_Dia28" localSheetId="11">Novembro!$P$21:$Q$23,Novembro!$Q$20</definedName>
    <definedName name="_Dia28" localSheetId="10">Outubro!$J$21:$K$23,Outubro!$K$20</definedName>
    <definedName name="_Dia28" localSheetId="9">Setembro!$T$21:$U$23,Setembro!$U$20,Setembro!$U$20</definedName>
    <definedName name="_Dia29" localSheetId="4">Abril!$J$21:$K$23,Abril!$K$20</definedName>
    <definedName name="_Dia29" localSheetId="8">Agosto!$P$21:$Q$23,Agosto!$Q$20</definedName>
    <definedName name="_Dia29" localSheetId="12">Dezembro!$V$21:$W$23,Dezembro!$W$20</definedName>
    <definedName name="_DIa29" localSheetId="1">Janeiro!$M$20:$M$23,Janeiro!$L$21:$L$23</definedName>
    <definedName name="_Dia29" localSheetId="7">Julho!$J$21:$K$23,Julho!$K$20</definedName>
    <definedName name="_Dia29" localSheetId="6">Junho!$T$21:$U$23,Junho!$U$20</definedName>
    <definedName name="_Dia29" localSheetId="5">Maio!$N$21:$O$23,Maio!$O$20</definedName>
    <definedName name="_Dia29" localSheetId="3">Março!$R$21:$S$23,Março!$S$20</definedName>
    <definedName name="_Dia29" localSheetId="11">Novembro!$R$21:$S$23,Novembro!$S$20</definedName>
    <definedName name="_Dia29" localSheetId="10">Outubro!$L$21:$M$23,Outubro!$M$20</definedName>
    <definedName name="_Dia29" localSheetId="9">Setembro!$V$21:$W$23,Setembro!$W$20</definedName>
    <definedName name="_Dia3" localSheetId="4">Abril!$N$5:$O$7,Abril!$O$4</definedName>
    <definedName name="_Dia3" localSheetId="8">Agosto!$T$5:$U$7,Agosto!$U$4</definedName>
    <definedName name="_Dia3" localSheetId="12">Dezembro!$L$9:$M$10,Dezembro!$M$8,Dezembro!$L$11,Dezembro!$M$11</definedName>
    <definedName name="_Dia3" localSheetId="2">Fevereiro!$V$5:$W$7,Fevereiro!$W$4</definedName>
    <definedName name="_Dia3" localSheetId="1">Janeiro!$Q$4,Janeiro!$P$5:$Q$7</definedName>
    <definedName name="_Dia3" localSheetId="7">Julho!$N$5:$O$7,Julho!$O$4</definedName>
    <definedName name="_Dia3" localSheetId="6">Junho!$J$9:$K$11,Junho!$K$8</definedName>
    <definedName name="_Dia3" localSheetId="5">Maio!$R$5:$S$7,Maio!$S$4</definedName>
    <definedName name="_Dia3" localSheetId="3">Março!$V$5:$W$7,Março!$W$4</definedName>
    <definedName name="_Dia3" localSheetId="11">Novembro!$V$5:$W$7,Novembro!$W$4</definedName>
    <definedName name="_Dia3" localSheetId="10">Outubro!$P$5:$Q$7,Outubro!$Q$4</definedName>
    <definedName name="_Dia3" localSheetId="9">Setembro!$L$9:$M$11,Setembro!$M$8</definedName>
    <definedName name="_Dia30" localSheetId="4">Abril!$L$21:$M$23,Abril!$M$20</definedName>
    <definedName name="_Dia30" localSheetId="8">Agosto!$R$21:$S$23,Agosto!$S$20</definedName>
    <definedName name="_Dia30" localSheetId="12">Dezembro!$J$25:$K$27,Dezembro!$K$24</definedName>
    <definedName name="_Dia30" localSheetId="1">Janeiro!$O$20:$O$23,Janeiro!$N$21:$N$23</definedName>
    <definedName name="_Dia30" localSheetId="7">Julho!$L$21:$M$23,Julho!$M$20</definedName>
    <definedName name="_Dia30" localSheetId="6">Junho!$V$21:$W$23,Junho!$W$20</definedName>
    <definedName name="_Dia30" localSheetId="5">Maio!$P$21:$Q$23,Maio!$Q$20</definedName>
    <definedName name="_Dia30" localSheetId="3">Março!$T$21:$U$23,Março!$U$20</definedName>
    <definedName name="_Dia30" localSheetId="11">Novembro!$T$21:$U$23,Novembro!$U$20</definedName>
    <definedName name="_Dia30" localSheetId="10">Outubro!$N$21:$O$23,Outubro!$O$20</definedName>
    <definedName name="_Dia30" localSheetId="9">Setembro!$J$25:$K$27,Setembro!$K$24</definedName>
    <definedName name="_Dia31" localSheetId="8">Agosto!$T$21:$U$23,Agosto!$U$20</definedName>
    <definedName name="_Dia31" localSheetId="12">Dezembro!$L$25:$M$27,Dezembro!$M$24</definedName>
    <definedName name="_Dia31" localSheetId="1">Janeiro!$Q$20:$Q$23,Janeiro!$P$21:$P$23</definedName>
    <definedName name="_Dia31" localSheetId="7">Julho!$N$21:$O$23,Julho!$O$20</definedName>
    <definedName name="_Dia31" localSheetId="5">Maio!$R$21:$S$23,Maio!$S$20</definedName>
    <definedName name="_Dia31" localSheetId="3">Março!$V$21:$W$23,Março!$W$20</definedName>
    <definedName name="_Dia31" localSheetId="10">Outubro!$P$21:$Q$23,Outubro!$Q$20</definedName>
    <definedName name="_Dia4" localSheetId="4">Abril!$P$5:$Q$7,Abril!$Q$4</definedName>
    <definedName name="_Dia4" localSheetId="8">Agosto!$V$5:$W$7,Agosto!$W$4</definedName>
    <definedName name="_Dia4" localSheetId="12">Dezembro!$N$9:$O$11,Dezembro!$O$8</definedName>
    <definedName name="_Dia4" localSheetId="2">Fevereiro!$J$9:$K$11,Fevereiro!$K$8</definedName>
    <definedName name="_Dia4" localSheetId="1">Janeiro!$S$4,Janeiro!$R$5:$S$7</definedName>
    <definedName name="_Dia4" localSheetId="7">Julho!$P$5:$Q$7,Julho!$Q$4</definedName>
    <definedName name="_Dia4" localSheetId="6">Junho!$L$9:$M$11,Junho!$M$8</definedName>
    <definedName name="_Dia4" localSheetId="5">Maio!$T$5:$U$7,Maio!$U$4</definedName>
    <definedName name="_Dia4" localSheetId="3">Março!$J$9:$K$11,Março!$K$8</definedName>
    <definedName name="_Dia4" localSheetId="11">Novembro!$J$9:$K$11,Novembro!$K$8</definedName>
    <definedName name="_Dia4" localSheetId="10">Outubro!$R$5:$S$7,Outubro!$S$4</definedName>
    <definedName name="_Dia4" localSheetId="9">Setembro!$N$9:$O$11,Setembro!$O$8</definedName>
    <definedName name="_Dia5" localSheetId="4">Abril!$R$5:$S$7,Abril!$S$4</definedName>
    <definedName name="_Dia5" localSheetId="8">Agosto!$J$9:$K$11,Agosto!$K$8</definedName>
    <definedName name="_Dia5" localSheetId="12">Dezembro!$P$9:$Q$11,Dezembro!$Q$8</definedName>
    <definedName name="_Dia5" localSheetId="2">Fevereiro!$L$9:$M$11,Fevereiro!$M$8</definedName>
    <definedName name="_Dia5" localSheetId="1">Janeiro!$U$4,Janeiro!$T$5:$U$7</definedName>
    <definedName name="_Dia5" localSheetId="7">Julho!$R$5:$S$7,Julho!$S$4</definedName>
    <definedName name="_Dia5" localSheetId="6">Junho!$N$9:$O$11,Junho!$O$8</definedName>
    <definedName name="_Dia5" localSheetId="5">Maio!$V$5:$W$7,Maio!$W$4</definedName>
    <definedName name="_Dia5" localSheetId="3">Março!$L$9:$M$11,Março!$M$8</definedName>
    <definedName name="_Dia5" localSheetId="11">Novembro!$L$9:$M$11,Novembro!$M$8</definedName>
    <definedName name="_Dia5" localSheetId="10">Outubro!$T$5:$U$7,Outubro!$U$4</definedName>
    <definedName name="_Dia5" localSheetId="9">Setembro!$P$9:$Q$11,Setembro!$Q$8</definedName>
    <definedName name="_Dia6" localSheetId="4">Abril!$T$5:$U$7,Abril!$U$4</definedName>
    <definedName name="_Dia6" localSheetId="8">Agosto!$L$9:$M$11,Agosto!$M$8</definedName>
    <definedName name="_Dia6" localSheetId="12">Dezembro!$R$9:$S$11,Dezembro!$S$8</definedName>
    <definedName name="_Dia6" localSheetId="2">Fevereiro!$N$9:$O$11,Fevereiro!$O$8</definedName>
    <definedName name="_Dia6" localSheetId="1">Janeiro!$W$4,Janeiro!$V$5:$W$7</definedName>
    <definedName name="_Dia6" localSheetId="7">Julho!$T$5:$U$7,Julho!$U$4</definedName>
    <definedName name="_Dia6" localSheetId="6">Junho!$P$9:$Q$11,Junho!$Q$8</definedName>
    <definedName name="_Dia6" localSheetId="5">Maio!$J$9:$K$11,Maio!$K$8</definedName>
    <definedName name="_Dia6" localSheetId="3">Março!$N$9:$O$11,Março!$O$8</definedName>
    <definedName name="_Dia6" localSheetId="11">Novembro!$N$9:$O$11,Novembro!$O$8</definedName>
    <definedName name="_Dia6" localSheetId="10">Outubro!$V$5:$W$7,Outubro!$W$4</definedName>
    <definedName name="_Dia6" localSheetId="9">Setembro!$R$9:$S$11,Setembro!$S$8</definedName>
    <definedName name="_Dia7" localSheetId="4">Abril!$V$5:$W$7,Abril!$W$4</definedName>
    <definedName name="_Dia7" localSheetId="8">Agosto!$N$9:$O$11,Agosto!$O$8</definedName>
    <definedName name="_Dia7" localSheetId="12">Dezembro!$T$9:$U$11,Dezembro!$U$8</definedName>
    <definedName name="_Dia7" localSheetId="2">Fevereiro!$P$9:$Q$11,Fevereiro!$Q$8</definedName>
    <definedName name="_Dia7" localSheetId="1">Janeiro!$K$8,Janeiro!$J$9:$K$11</definedName>
    <definedName name="_Dia7" localSheetId="7">Julho!$V$5:$W$7,Julho!$W$4</definedName>
    <definedName name="_Dia7" localSheetId="6">Junho!$R$9:$S$11,Junho!$S$8</definedName>
    <definedName name="_Dia7" localSheetId="5">Maio!$L$9:$M$11,Maio!$M$8</definedName>
    <definedName name="_Dia7" localSheetId="3">Março!$P$9:$Q$11,Março!$Q$8</definedName>
    <definedName name="_Dia7" localSheetId="11">Novembro!$P$9:$Q$11,Novembro!$Q$8</definedName>
    <definedName name="_Dia7" localSheetId="10">Outubro!$J$9:$K$11,Outubro!$K$8</definedName>
    <definedName name="_Dia7" localSheetId="9">Setembro!$T$9:$U$11,Setembro!$U$8</definedName>
    <definedName name="_Dia8" localSheetId="4">Abril!$J$9:$K$11,Abril!$K$8</definedName>
    <definedName name="_Dia8" localSheetId="8">Agosto!$P$9:$Q$11,Agosto!$Q$8</definedName>
    <definedName name="_Dia8" localSheetId="12">Dezembro!$V$9:$W$11,Dezembro!$W$8</definedName>
    <definedName name="_Dia8" localSheetId="2">Fevereiro!$R$9:$S$11,Fevereiro!$S$8</definedName>
    <definedName name="_Dia8" localSheetId="1">Janeiro!$M$8,Janeiro!$L$9:$M$11</definedName>
    <definedName name="_Dia8" localSheetId="7">Julho!$J$9:$K$11,Julho!$K$8</definedName>
    <definedName name="_Dia8" localSheetId="6">Junho!$T$9:$U$11,Junho!$U$8</definedName>
    <definedName name="_Dia8" localSheetId="5">Maio!$N$9:$O$11,Maio!$O$8</definedName>
    <definedName name="_Dia8" localSheetId="3">Março!$S$8:$S$11,Março!$R$9:$R$11</definedName>
    <definedName name="_Dia8" localSheetId="11">Novembro!$R$9:$S$11,Novembro!$S$8</definedName>
    <definedName name="_Dia8" localSheetId="10">Outubro!$L$9:$M$11,Outubro!$M$8</definedName>
    <definedName name="_Dia8" localSheetId="9">Setembro!$V$9:$W$11,Setembro!$W$8</definedName>
    <definedName name="_Dia9" localSheetId="4">Abril!$L$9:$M$11,Abril!$M$8</definedName>
    <definedName name="_Dia9" localSheetId="8">Agosto!$R$9:$S$11,Agosto!$S$8</definedName>
    <definedName name="_Dia9" localSheetId="12">Dezembro!$J$13:$K$15,Dezembro!$K$12</definedName>
    <definedName name="_Dia9" localSheetId="2">Fevereiro!$T$9:$U$11,Fevereiro!$U$8</definedName>
    <definedName name="_Dia9" localSheetId="1">Janeiro!$O$8,Janeiro!$N$9:$O$11</definedName>
    <definedName name="_Dia9" localSheetId="7">Julho!$L$9:$M$11,Julho!$M$8</definedName>
    <definedName name="_Dia9" localSheetId="6">Junho!$V$9:$W$11,Junho!$W$8</definedName>
    <definedName name="_Dia9" localSheetId="5">Maio!$P$9:$Q$11,Maio!$Q$8</definedName>
    <definedName name="_Dia9" localSheetId="3">Março!$T$9:$U$11,Março!$U$8</definedName>
    <definedName name="_Dia9" localSheetId="11">Novembro!$T$9:$U$11,Novembro!$U$8</definedName>
    <definedName name="_Dia9" localSheetId="10">Outubro!$N$9:$O$11,Outubro!$O$8</definedName>
    <definedName name="_Dia9" localSheetId="9">Setembro!$J$13:$K$15,Setembro!$K$12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6" l="1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5" i="16"/>
  <c r="D6" i="16"/>
  <c r="D7" i="16"/>
  <c r="D8" i="16"/>
  <c r="D9" i="16"/>
  <c r="A2" i="12"/>
  <c r="A4" i="12" s="1"/>
  <c r="A2" i="11"/>
  <c r="A3" i="11" s="1"/>
  <c r="A2" i="10"/>
  <c r="A4" i="10" s="1"/>
  <c r="A2" i="9"/>
  <c r="A4" i="9" s="1"/>
  <c r="A2" i="8"/>
  <c r="A4" i="8" s="1"/>
  <c r="A2" i="7"/>
  <c r="A3" i="7" s="1"/>
  <c r="A2" i="6"/>
  <c r="A4" i="6" s="1"/>
  <c r="A2" i="5"/>
  <c r="A3" i="5" s="1"/>
  <c r="A2" i="4"/>
  <c r="A3" i="4" s="1"/>
  <c r="A2" i="3"/>
  <c r="A4" i="3" s="1"/>
  <c r="A2" i="2"/>
  <c r="A3" i="2" s="1"/>
  <c r="A2" i="1"/>
  <c r="A4" i="1" s="1"/>
  <c r="A3" i="12" l="1"/>
  <c r="A4" i="11"/>
  <c r="A3" i="10"/>
  <c r="A3" i="9"/>
  <c r="A3" i="8"/>
  <c r="A3" i="6"/>
  <c r="A4" i="7"/>
  <c r="A4" i="5"/>
  <c r="A4" i="4"/>
  <c r="A3" i="3"/>
  <c r="A4" i="2"/>
  <c r="A3" i="1"/>
  <c r="M27" i="12" l="1" a="1"/>
  <c r="M27" i="12" s="1"/>
  <c r="M26" i="12" a="1"/>
  <c r="M26" i="12" s="1"/>
  <c r="M25" i="12" a="1"/>
  <c r="M25" i="12" s="1"/>
  <c r="M24" i="12" a="1"/>
  <c r="M24" i="12" s="1"/>
  <c r="K27" i="12" a="1"/>
  <c r="K27" i="12" s="1"/>
  <c r="K26" i="12" a="1"/>
  <c r="K26" i="12" s="1"/>
  <c r="K25" i="12" a="1"/>
  <c r="K25" i="12" s="1"/>
  <c r="K24" i="12" a="1"/>
  <c r="K24" i="12" s="1"/>
  <c r="W23" i="12" a="1"/>
  <c r="W23" i="12" s="1"/>
  <c r="U23" i="12" a="1"/>
  <c r="U23" i="12" s="1"/>
  <c r="S23" i="12" a="1"/>
  <c r="S23" i="12" s="1"/>
  <c r="W22" i="12" a="1"/>
  <c r="W22" i="12" s="1"/>
  <c r="U22" i="12" a="1"/>
  <c r="U22" i="12" s="1"/>
  <c r="S22" i="12" a="1"/>
  <c r="S22" i="12" s="1"/>
  <c r="W21" i="12" a="1"/>
  <c r="W21" i="12" s="1"/>
  <c r="U21" i="12" a="1"/>
  <c r="U21" i="12" s="1"/>
  <c r="S21" i="12" a="1"/>
  <c r="S21" i="12" s="1"/>
  <c r="W20" i="12" a="1"/>
  <c r="W20" i="12" s="1"/>
  <c r="U20" i="12" a="1"/>
  <c r="U20" i="12" s="1"/>
  <c r="S20" i="12" a="1"/>
  <c r="S20" i="12" s="1"/>
  <c r="U23" i="11" a="1"/>
  <c r="U23" i="11" s="1"/>
  <c r="S23" i="11" a="1"/>
  <c r="S23" i="11" s="1"/>
  <c r="U22" i="11" a="1"/>
  <c r="U22" i="11" s="1"/>
  <c r="S22" i="11" a="1"/>
  <c r="S22" i="11" s="1"/>
  <c r="U21" i="11" a="1"/>
  <c r="U21" i="11" s="1"/>
  <c r="S21" i="11" a="1"/>
  <c r="S21" i="11" s="1"/>
  <c r="U20" i="11" a="1"/>
  <c r="U20" i="11" s="1"/>
  <c r="S20" i="11" a="1"/>
  <c r="S20" i="11" s="1"/>
  <c r="K25" i="9" a="1"/>
  <c r="K25" i="9" s="1"/>
  <c r="K26" i="9" a="1"/>
  <c r="K26" i="9" s="1"/>
  <c r="K27" i="9" a="1"/>
  <c r="K27" i="9" s="1"/>
  <c r="K24" i="9" a="1"/>
  <c r="K24" i="9" s="1"/>
  <c r="W23" i="9" a="1"/>
  <c r="W23" i="9" s="1"/>
  <c r="U23" i="9" a="1"/>
  <c r="U23" i="9" s="1"/>
  <c r="S23" i="9" a="1"/>
  <c r="S23" i="9" s="1"/>
  <c r="W22" i="9" a="1"/>
  <c r="W22" i="9" s="1"/>
  <c r="U22" i="9" a="1"/>
  <c r="U22" i="9" s="1"/>
  <c r="S22" i="9" a="1"/>
  <c r="S22" i="9" s="1"/>
  <c r="W21" i="9" a="1"/>
  <c r="W21" i="9" s="1"/>
  <c r="U21" i="9" a="1"/>
  <c r="U21" i="9" s="1"/>
  <c r="S21" i="9" a="1"/>
  <c r="S21" i="9" s="1"/>
  <c r="W20" i="9" a="1"/>
  <c r="W20" i="9" s="1"/>
  <c r="U20" i="9" a="1"/>
  <c r="U20" i="9" s="1"/>
  <c r="S20" i="9" a="1"/>
  <c r="S20" i="9" s="1"/>
  <c r="U23" i="8" a="1"/>
  <c r="U23" i="8" s="1"/>
  <c r="S23" i="8" a="1"/>
  <c r="S23" i="8" s="1"/>
  <c r="U22" i="8" a="1"/>
  <c r="U22" i="8" s="1"/>
  <c r="S22" i="8" a="1"/>
  <c r="S22" i="8" s="1"/>
  <c r="U21" i="8" a="1"/>
  <c r="U21" i="8" s="1"/>
  <c r="S21" i="8" a="1"/>
  <c r="S21" i="8" s="1"/>
  <c r="U20" i="8" a="1"/>
  <c r="U20" i="8" s="1"/>
  <c r="S20" i="8" a="1"/>
  <c r="S20" i="8" s="1"/>
  <c r="K7" i="7" a="1"/>
  <c r="K7" i="7" s="1"/>
  <c r="K6" i="7" a="1"/>
  <c r="K6" i="7" s="1"/>
  <c r="K5" i="7" a="1"/>
  <c r="K5" i="7" s="1"/>
  <c r="K4" i="7" a="1"/>
  <c r="K4" i="7" s="1"/>
  <c r="W23" i="6" a="1"/>
  <c r="W23" i="6" s="1"/>
  <c r="U23" i="6" a="1"/>
  <c r="U23" i="6" s="1"/>
  <c r="S23" i="6" a="1"/>
  <c r="S23" i="6" s="1"/>
  <c r="W22" i="6" a="1"/>
  <c r="W22" i="6" s="1"/>
  <c r="U22" i="6" a="1"/>
  <c r="U22" i="6" s="1"/>
  <c r="S22" i="6" a="1"/>
  <c r="S22" i="6" s="1"/>
  <c r="W21" i="6" a="1"/>
  <c r="W21" i="6" s="1"/>
  <c r="U21" i="6" a="1"/>
  <c r="U21" i="6" s="1"/>
  <c r="S21" i="6" a="1"/>
  <c r="S21" i="6" s="1"/>
  <c r="W20" i="6" a="1"/>
  <c r="W20" i="6" s="1"/>
  <c r="U20" i="6" a="1"/>
  <c r="U20" i="6" s="1"/>
  <c r="S20" i="6" a="1"/>
  <c r="S20" i="6" s="1"/>
  <c r="S23" i="5" a="1"/>
  <c r="S23" i="5" s="1"/>
  <c r="S22" i="5" a="1"/>
  <c r="S22" i="5" s="1"/>
  <c r="S21" i="5" a="1"/>
  <c r="S21" i="5" s="1"/>
  <c r="S20" i="5" a="1"/>
  <c r="S20" i="5" s="1"/>
  <c r="K7" i="4" a="1"/>
  <c r="K7" i="4" s="1"/>
  <c r="K6" i="4" a="1"/>
  <c r="K6" i="4" s="1"/>
  <c r="K5" i="4" a="1"/>
  <c r="K5" i="4" s="1"/>
  <c r="K4" i="4" a="1"/>
  <c r="K4" i="4" s="1"/>
  <c r="W23" i="3" a="1"/>
  <c r="W23" i="3" s="1"/>
  <c r="U23" i="3" a="1"/>
  <c r="U23" i="3" s="1"/>
  <c r="S23" i="3" a="1"/>
  <c r="S23" i="3" s="1"/>
  <c r="W22" i="3" a="1"/>
  <c r="W22" i="3" s="1"/>
  <c r="U22" i="3" a="1"/>
  <c r="U22" i="3" s="1"/>
  <c r="S22" i="3" a="1"/>
  <c r="S22" i="3" s="1"/>
  <c r="W21" i="3" a="1"/>
  <c r="W21" i="3" s="1"/>
  <c r="U21" i="3" a="1"/>
  <c r="U21" i="3" s="1"/>
  <c r="S21" i="3" a="1"/>
  <c r="S21" i="3" s="1"/>
  <c r="W20" i="3" a="1"/>
  <c r="W20" i="3" s="1"/>
  <c r="U20" i="3" a="1"/>
  <c r="U20" i="3" s="1"/>
  <c r="S20" i="3" a="1"/>
  <c r="S20" i="3" s="1"/>
  <c r="Q23" i="2" a="1"/>
  <c r="Q23" i="2" s="1"/>
  <c r="O23" i="2" a="1"/>
  <c r="O23" i="2" s="1"/>
  <c r="M23" i="2" a="1"/>
  <c r="M23" i="2" s="1"/>
  <c r="K23" i="2" a="1"/>
  <c r="K23" i="2" s="1"/>
  <c r="Q22" i="2" a="1"/>
  <c r="Q22" i="2" s="1"/>
  <c r="O22" i="2" a="1"/>
  <c r="O22" i="2" s="1"/>
  <c r="M22" i="2" a="1"/>
  <c r="M22" i="2" s="1"/>
  <c r="K22" i="2" a="1"/>
  <c r="K22" i="2" s="1"/>
  <c r="Q21" i="2" a="1"/>
  <c r="Q21" i="2" s="1"/>
  <c r="O21" i="2" a="1"/>
  <c r="O21" i="2" s="1"/>
  <c r="M21" i="2" a="1"/>
  <c r="M21" i="2" s="1"/>
  <c r="K21" i="2" a="1"/>
  <c r="K21" i="2" s="1"/>
  <c r="Q20" i="2" a="1"/>
  <c r="Q20" i="2" s="1"/>
  <c r="O20" i="2" a="1"/>
  <c r="O20" i="2" s="1"/>
  <c r="M20" i="2" a="1"/>
  <c r="M20" i="2" s="1"/>
  <c r="K20" i="2" a="1"/>
  <c r="K20" i="2" s="1"/>
  <c r="W19" i="2" a="1"/>
  <c r="W19" i="2" s="1"/>
  <c r="U19" i="2" a="1"/>
  <c r="U19" i="2" s="1"/>
  <c r="S19" i="2" a="1"/>
  <c r="S19" i="2" s="1"/>
  <c r="Q19" i="2" a="1"/>
  <c r="Q19" i="2" s="1"/>
  <c r="O19" i="2" a="1"/>
  <c r="O19" i="2" s="1"/>
  <c r="M19" i="2" a="1"/>
  <c r="M19" i="2" s="1"/>
  <c r="K19" i="2" a="1"/>
  <c r="K19" i="2" s="1"/>
  <c r="W18" i="2" a="1"/>
  <c r="W18" i="2" s="1"/>
  <c r="U18" i="2" a="1"/>
  <c r="U18" i="2" s="1"/>
  <c r="S18" i="2" a="1"/>
  <c r="S18" i="2" s="1"/>
  <c r="Q18" i="2" a="1"/>
  <c r="Q18" i="2" s="1"/>
  <c r="O18" i="2" a="1"/>
  <c r="O18" i="2" s="1"/>
  <c r="M18" i="2" a="1"/>
  <c r="M18" i="2" s="1"/>
  <c r="K18" i="2" a="1"/>
  <c r="K18" i="2" s="1"/>
  <c r="W17" i="2" a="1"/>
  <c r="W17" i="2" s="1"/>
  <c r="U17" i="2" a="1"/>
  <c r="U17" i="2" s="1"/>
  <c r="S17" i="2" a="1"/>
  <c r="S17" i="2" s="1"/>
  <c r="Q17" i="2" a="1"/>
  <c r="Q17" i="2" s="1"/>
  <c r="O17" i="2" a="1"/>
  <c r="O17" i="2" s="1"/>
  <c r="M17" i="2" a="1"/>
  <c r="M17" i="2" s="1"/>
  <c r="K17" i="2" a="1"/>
  <c r="K17" i="2" s="1"/>
  <c r="W16" i="2" a="1"/>
  <c r="W16" i="2" s="1"/>
  <c r="U16" i="2" a="1"/>
  <c r="U16" i="2" s="1"/>
  <c r="S16" i="2" a="1"/>
  <c r="S16" i="2" s="1"/>
  <c r="Q16" i="2" a="1"/>
  <c r="Q16" i="2" s="1"/>
  <c r="O16" i="2" a="1"/>
  <c r="O16" i="2" s="1"/>
  <c r="M16" i="2" a="1"/>
  <c r="M16" i="2" s="1"/>
  <c r="K16" i="2" a="1"/>
  <c r="K16" i="2" s="1"/>
  <c r="W15" i="2" a="1"/>
  <c r="W15" i="2" s="1"/>
  <c r="U15" i="2" a="1"/>
  <c r="U15" i="2" s="1"/>
  <c r="S15" i="2" a="1"/>
  <c r="S15" i="2" s="1"/>
  <c r="Q15" i="2" a="1"/>
  <c r="Q15" i="2" s="1"/>
  <c r="O15" i="2" a="1"/>
  <c r="O15" i="2" s="1"/>
  <c r="M15" i="2" a="1"/>
  <c r="M15" i="2" s="1"/>
  <c r="K15" i="2" a="1"/>
  <c r="K15" i="2" s="1"/>
  <c r="W14" i="2" a="1"/>
  <c r="W14" i="2" s="1"/>
  <c r="U14" i="2" a="1"/>
  <c r="U14" i="2" s="1"/>
  <c r="S14" i="2" a="1"/>
  <c r="S14" i="2" s="1"/>
  <c r="Q14" i="2" a="1"/>
  <c r="Q14" i="2" s="1"/>
  <c r="O14" i="2" a="1"/>
  <c r="O14" i="2" s="1"/>
  <c r="M14" i="2" a="1"/>
  <c r="M14" i="2" s="1"/>
  <c r="K14" i="2" a="1"/>
  <c r="K14" i="2" s="1"/>
  <c r="W13" i="2" a="1"/>
  <c r="W13" i="2" s="1"/>
  <c r="U13" i="2" a="1"/>
  <c r="U13" i="2" s="1"/>
  <c r="S13" i="2" a="1"/>
  <c r="S13" i="2" s="1"/>
  <c r="Q13" i="2" a="1"/>
  <c r="Q13" i="2" s="1"/>
  <c r="O13" i="2" a="1"/>
  <c r="O13" i="2" s="1"/>
  <c r="M13" i="2" a="1"/>
  <c r="M13" i="2" s="1"/>
  <c r="K13" i="2" a="1"/>
  <c r="K13" i="2" s="1"/>
  <c r="W12" i="2" a="1"/>
  <c r="W12" i="2" s="1"/>
  <c r="U12" i="2" a="1"/>
  <c r="U12" i="2" s="1"/>
  <c r="S12" i="2" a="1"/>
  <c r="S12" i="2" s="1"/>
  <c r="Q12" i="2" a="1"/>
  <c r="Q12" i="2" s="1"/>
  <c r="O12" i="2" a="1"/>
  <c r="O12" i="2" s="1"/>
  <c r="M12" i="2" a="1"/>
  <c r="M12" i="2" s="1"/>
  <c r="K12" i="2" a="1"/>
  <c r="K12" i="2" s="1"/>
  <c r="W11" i="2" a="1"/>
  <c r="W11" i="2" s="1"/>
  <c r="U11" i="2" a="1"/>
  <c r="U11" i="2" s="1"/>
  <c r="S11" i="2" a="1"/>
  <c r="S11" i="2" s="1"/>
  <c r="Q11" i="2" a="1"/>
  <c r="Q11" i="2" s="1"/>
  <c r="O11" i="2" a="1"/>
  <c r="O11" i="2" s="1"/>
  <c r="M11" i="2" a="1"/>
  <c r="M11" i="2" s="1"/>
  <c r="K11" i="2" a="1"/>
  <c r="K11" i="2" s="1"/>
  <c r="W10" i="2" a="1"/>
  <c r="W10" i="2" s="1"/>
  <c r="U10" i="2" a="1"/>
  <c r="U10" i="2" s="1"/>
  <c r="S10" i="2" a="1"/>
  <c r="S10" i="2" s="1"/>
  <c r="Q10" i="2" a="1"/>
  <c r="Q10" i="2" s="1"/>
  <c r="O10" i="2" a="1"/>
  <c r="O10" i="2" s="1"/>
  <c r="M10" i="2" a="1"/>
  <c r="M10" i="2" s="1"/>
  <c r="K10" i="2" a="1"/>
  <c r="K10" i="2" s="1"/>
  <c r="W9" i="2" a="1"/>
  <c r="W9" i="2" s="1"/>
  <c r="U9" i="2" a="1"/>
  <c r="U9" i="2" s="1"/>
  <c r="S9" i="2" a="1"/>
  <c r="S9" i="2" s="1"/>
  <c r="Q9" i="2" a="1"/>
  <c r="Q9" i="2" s="1"/>
  <c r="O9" i="2" a="1"/>
  <c r="O9" i="2" s="1"/>
  <c r="M9" i="2" a="1"/>
  <c r="M9" i="2" s="1"/>
  <c r="K9" i="2" a="1"/>
  <c r="K9" i="2" s="1"/>
  <c r="W8" i="2" a="1"/>
  <c r="W8" i="2" s="1"/>
  <c r="U8" i="2" a="1"/>
  <c r="U8" i="2" s="1"/>
  <c r="S8" i="2" a="1"/>
  <c r="S8" i="2" s="1"/>
  <c r="Q8" i="2" a="1"/>
  <c r="Q8" i="2" s="1"/>
  <c r="O8" i="2" a="1"/>
  <c r="O8" i="2" s="1"/>
  <c r="M8" i="2" a="1"/>
  <c r="M8" i="2" s="1"/>
  <c r="K8" i="2" a="1"/>
  <c r="K8" i="2" s="1"/>
  <c r="W7" i="2" a="1"/>
  <c r="W7" i="2" s="1"/>
  <c r="U7" i="2" a="1"/>
  <c r="U7" i="2" s="1"/>
  <c r="S7" i="2" a="1"/>
  <c r="S7" i="2" s="1"/>
  <c r="W6" i="2" a="1"/>
  <c r="W6" i="2" s="1"/>
  <c r="U6" i="2" a="1"/>
  <c r="U6" i="2" s="1"/>
  <c r="S6" i="2" a="1"/>
  <c r="S6" i="2" s="1"/>
  <c r="W5" i="2" a="1"/>
  <c r="W5" i="2" s="1"/>
  <c r="U5" i="2" a="1"/>
  <c r="U5" i="2" s="1"/>
  <c r="S5" i="2" a="1"/>
  <c r="S5" i="2" s="1"/>
  <c r="W4" i="2" a="1"/>
  <c r="W4" i="2" s="1"/>
  <c r="U4" i="2" a="1"/>
  <c r="U4" i="2" s="1"/>
  <c r="S4" i="2" a="1"/>
  <c r="S4" i="2" s="1"/>
  <c r="M23" i="4" a="1"/>
  <c r="M23" i="4" s="1"/>
  <c r="K23" i="4" a="1"/>
  <c r="K23" i="4" s="1"/>
  <c r="M22" i="4" a="1"/>
  <c r="M22" i="4" s="1"/>
  <c r="K22" i="4" a="1"/>
  <c r="K22" i="4" s="1"/>
  <c r="M21" i="4" a="1"/>
  <c r="M21" i="4" s="1"/>
  <c r="K21" i="4" a="1"/>
  <c r="K21" i="4" s="1"/>
  <c r="M20" i="4" a="1"/>
  <c r="M20" i="4" s="1"/>
  <c r="K20" i="4" a="1"/>
  <c r="K20" i="4" s="1"/>
  <c r="W19" i="4" a="1"/>
  <c r="W19" i="4" s="1"/>
  <c r="U19" i="4" a="1"/>
  <c r="U19" i="4" s="1"/>
  <c r="S19" i="4" a="1"/>
  <c r="S19" i="4" s="1"/>
  <c r="Q19" i="4" a="1"/>
  <c r="Q19" i="4" s="1"/>
  <c r="O19" i="4" a="1"/>
  <c r="O19" i="4" s="1"/>
  <c r="M19" i="4" a="1"/>
  <c r="M19" i="4" s="1"/>
  <c r="K19" i="4" a="1"/>
  <c r="K19" i="4" s="1"/>
  <c r="W18" i="4" a="1"/>
  <c r="W18" i="4" s="1"/>
  <c r="U18" i="4" a="1"/>
  <c r="U18" i="4" s="1"/>
  <c r="S18" i="4" a="1"/>
  <c r="S18" i="4" s="1"/>
  <c r="Q18" i="4" a="1"/>
  <c r="Q18" i="4" s="1"/>
  <c r="O18" i="4" a="1"/>
  <c r="O18" i="4" s="1"/>
  <c r="M18" i="4" a="1"/>
  <c r="M18" i="4" s="1"/>
  <c r="K18" i="4" a="1"/>
  <c r="K18" i="4" s="1"/>
  <c r="W17" i="4" a="1"/>
  <c r="W17" i="4" s="1"/>
  <c r="U17" i="4" a="1"/>
  <c r="U17" i="4" s="1"/>
  <c r="S17" i="4" a="1"/>
  <c r="S17" i="4" s="1"/>
  <c r="Q17" i="4" a="1"/>
  <c r="Q17" i="4" s="1"/>
  <c r="O17" i="4" a="1"/>
  <c r="O17" i="4" s="1"/>
  <c r="M17" i="4" a="1"/>
  <c r="M17" i="4" s="1"/>
  <c r="K17" i="4" a="1"/>
  <c r="K17" i="4" s="1"/>
  <c r="W16" i="4" a="1"/>
  <c r="W16" i="4" s="1"/>
  <c r="U16" i="4" a="1"/>
  <c r="U16" i="4" s="1"/>
  <c r="S16" i="4" a="1"/>
  <c r="S16" i="4" s="1"/>
  <c r="Q16" i="4" a="1"/>
  <c r="Q16" i="4" s="1"/>
  <c r="O16" i="4" a="1"/>
  <c r="O16" i="4" s="1"/>
  <c r="M16" i="4" a="1"/>
  <c r="M16" i="4" s="1"/>
  <c r="K16" i="4" a="1"/>
  <c r="K16" i="4" s="1"/>
  <c r="W15" i="4" a="1"/>
  <c r="W15" i="4" s="1"/>
  <c r="U15" i="4" a="1"/>
  <c r="U15" i="4" s="1"/>
  <c r="S15" i="4" a="1"/>
  <c r="S15" i="4" s="1"/>
  <c r="Q15" i="4" a="1"/>
  <c r="Q15" i="4" s="1"/>
  <c r="O15" i="4" a="1"/>
  <c r="O15" i="4" s="1"/>
  <c r="M15" i="4" a="1"/>
  <c r="M15" i="4" s="1"/>
  <c r="K15" i="4" a="1"/>
  <c r="K15" i="4" s="1"/>
  <c r="W14" i="4" a="1"/>
  <c r="W14" i="4" s="1"/>
  <c r="U14" i="4" a="1"/>
  <c r="U14" i="4" s="1"/>
  <c r="S14" i="4" a="1"/>
  <c r="S14" i="4" s="1"/>
  <c r="Q14" i="4" a="1"/>
  <c r="Q14" i="4" s="1"/>
  <c r="O14" i="4" a="1"/>
  <c r="O14" i="4" s="1"/>
  <c r="M14" i="4" a="1"/>
  <c r="M14" i="4" s="1"/>
  <c r="K14" i="4" a="1"/>
  <c r="K14" i="4" s="1"/>
  <c r="W13" i="4" a="1"/>
  <c r="W13" i="4" s="1"/>
  <c r="U13" i="4" a="1"/>
  <c r="U13" i="4" s="1"/>
  <c r="S13" i="4" a="1"/>
  <c r="S13" i="4" s="1"/>
  <c r="Q13" i="4" a="1"/>
  <c r="Q13" i="4" s="1"/>
  <c r="O13" i="4" a="1"/>
  <c r="O13" i="4" s="1"/>
  <c r="M13" i="4" a="1"/>
  <c r="M13" i="4" s="1"/>
  <c r="K13" i="4" a="1"/>
  <c r="K13" i="4" s="1"/>
  <c r="W12" i="4" a="1"/>
  <c r="W12" i="4" s="1"/>
  <c r="U12" i="4" a="1"/>
  <c r="U12" i="4" s="1"/>
  <c r="S12" i="4" a="1"/>
  <c r="S12" i="4" s="1"/>
  <c r="Q12" i="4" a="1"/>
  <c r="Q12" i="4" s="1"/>
  <c r="O12" i="4" a="1"/>
  <c r="O12" i="4" s="1"/>
  <c r="M12" i="4" a="1"/>
  <c r="M12" i="4" s="1"/>
  <c r="K12" i="4" a="1"/>
  <c r="K12" i="4" s="1"/>
  <c r="W11" i="4" a="1"/>
  <c r="W11" i="4" s="1"/>
  <c r="U11" i="4" a="1"/>
  <c r="U11" i="4" s="1"/>
  <c r="S11" i="4" a="1"/>
  <c r="S11" i="4" s="1"/>
  <c r="Q11" i="4" a="1"/>
  <c r="Q11" i="4" s="1"/>
  <c r="O11" i="4" a="1"/>
  <c r="O11" i="4" s="1"/>
  <c r="M11" i="4" a="1"/>
  <c r="M11" i="4" s="1"/>
  <c r="K11" i="4" a="1"/>
  <c r="K11" i="4" s="1"/>
  <c r="W10" i="4" a="1"/>
  <c r="W10" i="4" s="1"/>
  <c r="U10" i="4" a="1"/>
  <c r="U10" i="4" s="1"/>
  <c r="S10" i="4" a="1"/>
  <c r="S10" i="4" s="1"/>
  <c r="Q10" i="4" a="1"/>
  <c r="Q10" i="4" s="1"/>
  <c r="O10" i="4" a="1"/>
  <c r="O10" i="4" s="1"/>
  <c r="M10" i="4" a="1"/>
  <c r="M10" i="4" s="1"/>
  <c r="K10" i="4" a="1"/>
  <c r="K10" i="4" s="1"/>
  <c r="W9" i="4" a="1"/>
  <c r="W9" i="4" s="1"/>
  <c r="U9" i="4" a="1"/>
  <c r="U9" i="4" s="1"/>
  <c r="S9" i="4" a="1"/>
  <c r="S9" i="4" s="1"/>
  <c r="Q9" i="4" a="1"/>
  <c r="Q9" i="4" s="1"/>
  <c r="O9" i="4" a="1"/>
  <c r="O9" i="4" s="1"/>
  <c r="M9" i="4" a="1"/>
  <c r="M9" i="4" s="1"/>
  <c r="K9" i="4" a="1"/>
  <c r="K9" i="4" s="1"/>
  <c r="W8" i="4" a="1"/>
  <c r="W8" i="4" s="1"/>
  <c r="U8" i="4" a="1"/>
  <c r="U8" i="4" s="1"/>
  <c r="S8" i="4" a="1"/>
  <c r="S8" i="4" s="1"/>
  <c r="Q8" i="4" a="1"/>
  <c r="Q8" i="4" s="1"/>
  <c r="O8" i="4" a="1"/>
  <c r="O8" i="4" s="1"/>
  <c r="M8" i="4" a="1"/>
  <c r="M8" i="4" s="1"/>
  <c r="K8" i="4" a="1"/>
  <c r="K8" i="4" s="1"/>
  <c r="W7" i="4" a="1"/>
  <c r="W7" i="4" s="1"/>
  <c r="U7" i="4" a="1"/>
  <c r="U7" i="4" s="1"/>
  <c r="S7" i="4" a="1"/>
  <c r="S7" i="4" s="1"/>
  <c r="Q7" i="4" a="1"/>
  <c r="Q7" i="4" s="1"/>
  <c r="O7" i="4" a="1"/>
  <c r="O7" i="4" s="1"/>
  <c r="M7" i="4" a="1"/>
  <c r="M7" i="4" s="1"/>
  <c r="W6" i="4" a="1"/>
  <c r="W6" i="4" s="1"/>
  <c r="U6" i="4" a="1"/>
  <c r="U6" i="4" s="1"/>
  <c r="S6" i="4" a="1"/>
  <c r="S6" i="4" s="1"/>
  <c r="Q6" i="4" a="1"/>
  <c r="Q6" i="4" s="1"/>
  <c r="O6" i="4" a="1"/>
  <c r="O6" i="4" s="1"/>
  <c r="M6" i="4" a="1"/>
  <c r="M6" i="4" s="1"/>
  <c r="W5" i="4" a="1"/>
  <c r="W5" i="4" s="1"/>
  <c r="U5" i="4" a="1"/>
  <c r="U5" i="4" s="1"/>
  <c r="S5" i="4" a="1"/>
  <c r="S5" i="4" s="1"/>
  <c r="Q5" i="4" a="1"/>
  <c r="Q5" i="4" s="1"/>
  <c r="O5" i="4" a="1"/>
  <c r="O5" i="4" s="1"/>
  <c r="M5" i="4" a="1"/>
  <c r="M5" i="4" s="1"/>
  <c r="W4" i="4" a="1"/>
  <c r="W4" i="4" s="1"/>
  <c r="U4" i="4" a="1"/>
  <c r="U4" i="4" s="1"/>
  <c r="S4" i="4" a="1"/>
  <c r="S4" i="4" s="1"/>
  <c r="Q4" i="4" a="1"/>
  <c r="Q4" i="4" s="1"/>
  <c r="O4" i="4" a="1"/>
  <c r="O4" i="4" s="1"/>
  <c r="M4" i="4" a="1"/>
  <c r="M4" i="4" s="1"/>
  <c r="Q23" i="5" a="1"/>
  <c r="Q23" i="5" s="1"/>
  <c r="O23" i="5" a="1"/>
  <c r="O23" i="5" s="1"/>
  <c r="M23" i="5" a="1"/>
  <c r="M23" i="5" s="1"/>
  <c r="K23" i="5" a="1"/>
  <c r="K23" i="5" s="1"/>
  <c r="Q22" i="5" a="1"/>
  <c r="Q22" i="5" s="1"/>
  <c r="O22" i="5" a="1"/>
  <c r="O22" i="5" s="1"/>
  <c r="M22" i="5" a="1"/>
  <c r="M22" i="5" s="1"/>
  <c r="K22" i="5" a="1"/>
  <c r="K22" i="5" s="1"/>
  <c r="Q21" i="5" a="1"/>
  <c r="Q21" i="5" s="1"/>
  <c r="O21" i="5" a="1"/>
  <c r="O21" i="5" s="1"/>
  <c r="M21" i="5" a="1"/>
  <c r="M21" i="5" s="1"/>
  <c r="K21" i="5" a="1"/>
  <c r="K21" i="5" s="1"/>
  <c r="Q20" i="5" a="1"/>
  <c r="Q20" i="5" s="1"/>
  <c r="O20" i="5" a="1"/>
  <c r="O20" i="5" s="1"/>
  <c r="M20" i="5" a="1"/>
  <c r="M20" i="5" s="1"/>
  <c r="K20" i="5" a="1"/>
  <c r="K20" i="5" s="1"/>
  <c r="W19" i="5" a="1"/>
  <c r="W19" i="5" s="1"/>
  <c r="U19" i="5" a="1"/>
  <c r="U19" i="5" s="1"/>
  <c r="S19" i="5" a="1"/>
  <c r="S19" i="5" s="1"/>
  <c r="Q19" i="5" a="1"/>
  <c r="Q19" i="5" s="1"/>
  <c r="O19" i="5" a="1"/>
  <c r="O19" i="5" s="1"/>
  <c r="M19" i="5" a="1"/>
  <c r="M19" i="5" s="1"/>
  <c r="K19" i="5" a="1"/>
  <c r="K19" i="5" s="1"/>
  <c r="W18" i="5" a="1"/>
  <c r="W18" i="5" s="1"/>
  <c r="U18" i="5" a="1"/>
  <c r="U18" i="5" s="1"/>
  <c r="S18" i="5" a="1"/>
  <c r="S18" i="5" s="1"/>
  <c r="Q18" i="5" a="1"/>
  <c r="Q18" i="5" s="1"/>
  <c r="O18" i="5" a="1"/>
  <c r="O18" i="5" s="1"/>
  <c r="M18" i="5" a="1"/>
  <c r="M18" i="5" s="1"/>
  <c r="K18" i="5" a="1"/>
  <c r="K18" i="5" s="1"/>
  <c r="W17" i="5" a="1"/>
  <c r="W17" i="5" s="1"/>
  <c r="U17" i="5" a="1"/>
  <c r="U17" i="5" s="1"/>
  <c r="S17" i="5" a="1"/>
  <c r="S17" i="5" s="1"/>
  <c r="Q17" i="5" a="1"/>
  <c r="Q17" i="5" s="1"/>
  <c r="O17" i="5" a="1"/>
  <c r="O17" i="5" s="1"/>
  <c r="M17" i="5" a="1"/>
  <c r="M17" i="5" s="1"/>
  <c r="K17" i="5" a="1"/>
  <c r="K17" i="5" s="1"/>
  <c r="W16" i="5" a="1"/>
  <c r="W16" i="5" s="1"/>
  <c r="U16" i="5" a="1"/>
  <c r="U16" i="5" s="1"/>
  <c r="S16" i="5" a="1"/>
  <c r="S16" i="5" s="1"/>
  <c r="Q16" i="5" a="1"/>
  <c r="Q16" i="5" s="1"/>
  <c r="O16" i="5" a="1"/>
  <c r="O16" i="5" s="1"/>
  <c r="M16" i="5" a="1"/>
  <c r="M16" i="5" s="1"/>
  <c r="K16" i="5" a="1"/>
  <c r="K16" i="5" s="1"/>
  <c r="W15" i="5" a="1"/>
  <c r="W15" i="5" s="1"/>
  <c r="U15" i="5" a="1"/>
  <c r="U15" i="5" s="1"/>
  <c r="S15" i="5" a="1"/>
  <c r="S15" i="5" s="1"/>
  <c r="Q15" i="5" a="1"/>
  <c r="Q15" i="5" s="1"/>
  <c r="O15" i="5" a="1"/>
  <c r="O15" i="5" s="1"/>
  <c r="M15" i="5" a="1"/>
  <c r="M15" i="5" s="1"/>
  <c r="K15" i="5" a="1"/>
  <c r="K15" i="5" s="1"/>
  <c r="W14" i="5" a="1"/>
  <c r="W14" i="5" s="1"/>
  <c r="U14" i="5" a="1"/>
  <c r="U14" i="5" s="1"/>
  <c r="S14" i="5" a="1"/>
  <c r="S14" i="5" s="1"/>
  <c r="Q14" i="5" a="1"/>
  <c r="Q14" i="5" s="1"/>
  <c r="O14" i="5" a="1"/>
  <c r="O14" i="5" s="1"/>
  <c r="M14" i="5" a="1"/>
  <c r="M14" i="5" s="1"/>
  <c r="K14" i="5" a="1"/>
  <c r="K14" i="5" s="1"/>
  <c r="W13" i="5" a="1"/>
  <c r="W13" i="5" s="1"/>
  <c r="U13" i="5" a="1"/>
  <c r="U13" i="5" s="1"/>
  <c r="S13" i="5" a="1"/>
  <c r="S13" i="5" s="1"/>
  <c r="Q13" i="5" a="1"/>
  <c r="Q13" i="5" s="1"/>
  <c r="O13" i="5" a="1"/>
  <c r="O13" i="5" s="1"/>
  <c r="M13" i="5" a="1"/>
  <c r="M13" i="5" s="1"/>
  <c r="K13" i="5" a="1"/>
  <c r="K13" i="5" s="1"/>
  <c r="W12" i="5" a="1"/>
  <c r="W12" i="5" s="1"/>
  <c r="U12" i="5" a="1"/>
  <c r="U12" i="5" s="1"/>
  <c r="S12" i="5" a="1"/>
  <c r="S12" i="5" s="1"/>
  <c r="Q12" i="5" a="1"/>
  <c r="Q12" i="5" s="1"/>
  <c r="O12" i="5" a="1"/>
  <c r="O12" i="5" s="1"/>
  <c r="M12" i="5" a="1"/>
  <c r="M12" i="5" s="1"/>
  <c r="K12" i="5" a="1"/>
  <c r="K12" i="5" s="1"/>
  <c r="W11" i="5" a="1"/>
  <c r="W11" i="5" s="1"/>
  <c r="U11" i="5" a="1"/>
  <c r="U11" i="5" s="1"/>
  <c r="S11" i="5" a="1"/>
  <c r="S11" i="5" s="1"/>
  <c r="Q11" i="5" a="1"/>
  <c r="Q11" i="5" s="1"/>
  <c r="O11" i="5" a="1"/>
  <c r="O11" i="5" s="1"/>
  <c r="M11" i="5" a="1"/>
  <c r="M11" i="5" s="1"/>
  <c r="K11" i="5" a="1"/>
  <c r="K11" i="5" s="1"/>
  <c r="W10" i="5" a="1"/>
  <c r="W10" i="5" s="1"/>
  <c r="U10" i="5" a="1"/>
  <c r="U10" i="5" s="1"/>
  <c r="S10" i="5" a="1"/>
  <c r="S10" i="5" s="1"/>
  <c r="Q10" i="5" a="1"/>
  <c r="Q10" i="5" s="1"/>
  <c r="O10" i="5" a="1"/>
  <c r="O10" i="5" s="1"/>
  <c r="M8" i="5" s="1"/>
  <c r="M10" i="5" a="1"/>
  <c r="M10" i="5" s="1"/>
  <c r="K10" i="5" a="1"/>
  <c r="K10" i="5" s="1"/>
  <c r="W9" i="5" a="1"/>
  <c r="W9" i="5" s="1"/>
  <c r="U9" i="5" a="1"/>
  <c r="U9" i="5" s="1"/>
  <c r="S9" i="5" a="1"/>
  <c r="S9" i="5" s="1"/>
  <c r="Q9" i="5" a="1"/>
  <c r="Q9" i="5" s="1"/>
  <c r="O9" i="5" a="1"/>
  <c r="O9" i="5" s="1"/>
  <c r="M9" i="5" a="1"/>
  <c r="M9" i="5" s="1"/>
  <c r="K9" i="5" a="1"/>
  <c r="K9" i="5" s="1"/>
  <c r="W8" i="5" a="1"/>
  <c r="W8" i="5" s="1"/>
  <c r="U8" i="5" a="1"/>
  <c r="U8" i="5" s="1"/>
  <c r="S8" i="5" a="1"/>
  <c r="S8" i="5" s="1"/>
  <c r="Q8" i="5" a="1"/>
  <c r="Q8" i="5" s="1"/>
  <c r="O8" i="5" a="1"/>
  <c r="O8" i="5" s="1"/>
  <c r="K8" i="5" a="1"/>
  <c r="K8" i="5" s="1"/>
  <c r="W7" i="5" a="1"/>
  <c r="W7" i="5" s="1"/>
  <c r="U7" i="5" a="1"/>
  <c r="U7" i="5" s="1"/>
  <c r="S7" i="5" a="1"/>
  <c r="S7" i="5" s="1"/>
  <c r="Q7" i="5" a="1"/>
  <c r="Q7" i="5" s="1"/>
  <c r="O7" i="5" a="1"/>
  <c r="O7" i="5" s="1"/>
  <c r="W6" i="5" a="1"/>
  <c r="W6" i="5" s="1"/>
  <c r="U6" i="5" a="1"/>
  <c r="U6" i="5" s="1"/>
  <c r="S6" i="5" a="1"/>
  <c r="S6" i="5" s="1"/>
  <c r="Q6" i="5" a="1"/>
  <c r="Q6" i="5" s="1"/>
  <c r="O6" i="5" a="1"/>
  <c r="O6" i="5" s="1"/>
  <c r="W5" i="5" a="1"/>
  <c r="W5" i="5" s="1"/>
  <c r="U5" i="5" a="1"/>
  <c r="U5" i="5" s="1"/>
  <c r="S5" i="5" a="1"/>
  <c r="S5" i="5" s="1"/>
  <c r="Q5" i="5" a="1"/>
  <c r="Q5" i="5" s="1"/>
  <c r="O5" i="5" a="1"/>
  <c r="O5" i="5" s="1"/>
  <c r="W4" i="5" a="1"/>
  <c r="W4" i="5" s="1"/>
  <c r="U4" i="5" a="1"/>
  <c r="U4" i="5" s="1"/>
  <c r="S4" i="5" a="1"/>
  <c r="S4" i="5" s="1"/>
  <c r="Q4" i="5" a="1"/>
  <c r="Q4" i="5" s="1"/>
  <c r="O4" i="5" a="1"/>
  <c r="O4" i="5" s="1"/>
  <c r="Q23" i="6" a="1"/>
  <c r="Q23" i="6" s="1"/>
  <c r="O23" i="6" a="1"/>
  <c r="O23" i="6" s="1"/>
  <c r="M23" i="6" a="1"/>
  <c r="M23" i="6" s="1"/>
  <c r="K23" i="6" a="1"/>
  <c r="K23" i="6" s="1"/>
  <c r="Q22" i="6" a="1"/>
  <c r="Q22" i="6" s="1"/>
  <c r="O22" i="6" a="1"/>
  <c r="O22" i="6" s="1"/>
  <c r="M22" i="6" a="1"/>
  <c r="M22" i="6" s="1"/>
  <c r="K22" i="6" a="1"/>
  <c r="K22" i="6" s="1"/>
  <c r="Q21" i="6" a="1"/>
  <c r="Q21" i="6" s="1"/>
  <c r="O21" i="6" a="1"/>
  <c r="O21" i="6" s="1"/>
  <c r="M21" i="6" a="1"/>
  <c r="M21" i="6" s="1"/>
  <c r="K21" i="6" a="1"/>
  <c r="K21" i="6" s="1"/>
  <c r="Q20" i="6" a="1"/>
  <c r="Q20" i="6" s="1"/>
  <c r="O20" i="6" a="1"/>
  <c r="O20" i="6" s="1"/>
  <c r="M20" i="6" a="1"/>
  <c r="M20" i="6" s="1"/>
  <c r="K20" i="6" a="1"/>
  <c r="K20" i="6" s="1"/>
  <c r="W19" i="6" a="1"/>
  <c r="W19" i="6" s="1"/>
  <c r="U19" i="6" a="1"/>
  <c r="U19" i="6" s="1"/>
  <c r="S19" i="6" a="1"/>
  <c r="S19" i="6" s="1"/>
  <c r="Q19" i="6" a="1"/>
  <c r="Q19" i="6" s="1"/>
  <c r="O19" i="6" a="1"/>
  <c r="O19" i="6" s="1"/>
  <c r="M19" i="6" a="1"/>
  <c r="M19" i="6" s="1"/>
  <c r="K19" i="6" a="1"/>
  <c r="K19" i="6" s="1"/>
  <c r="W18" i="6" a="1"/>
  <c r="W18" i="6" s="1"/>
  <c r="U18" i="6" a="1"/>
  <c r="U18" i="6" s="1"/>
  <c r="S18" i="6" a="1"/>
  <c r="S18" i="6" s="1"/>
  <c r="Q18" i="6" a="1"/>
  <c r="Q18" i="6" s="1"/>
  <c r="O18" i="6" a="1"/>
  <c r="O18" i="6" s="1"/>
  <c r="M18" i="6" a="1"/>
  <c r="M18" i="6" s="1"/>
  <c r="K18" i="6" a="1"/>
  <c r="K18" i="6" s="1"/>
  <c r="W17" i="6" a="1"/>
  <c r="W17" i="6" s="1"/>
  <c r="U17" i="6" a="1"/>
  <c r="U17" i="6" s="1"/>
  <c r="S17" i="6" a="1"/>
  <c r="S17" i="6" s="1"/>
  <c r="Q17" i="6" a="1"/>
  <c r="Q17" i="6" s="1"/>
  <c r="O17" i="6" a="1"/>
  <c r="O17" i="6" s="1"/>
  <c r="M17" i="6" a="1"/>
  <c r="M17" i="6" s="1"/>
  <c r="K17" i="6" a="1"/>
  <c r="K17" i="6" s="1"/>
  <c r="W16" i="6" a="1"/>
  <c r="W16" i="6" s="1"/>
  <c r="U16" i="6" a="1"/>
  <c r="U16" i="6" s="1"/>
  <c r="S16" i="6" a="1"/>
  <c r="S16" i="6" s="1"/>
  <c r="Q16" i="6" a="1"/>
  <c r="Q16" i="6" s="1"/>
  <c r="O16" i="6" a="1"/>
  <c r="O16" i="6" s="1"/>
  <c r="M16" i="6" a="1"/>
  <c r="M16" i="6" s="1"/>
  <c r="K16" i="6" a="1"/>
  <c r="K16" i="6" s="1"/>
  <c r="W15" i="6" a="1"/>
  <c r="W15" i="6" s="1"/>
  <c r="U15" i="6" a="1"/>
  <c r="U15" i="6" s="1"/>
  <c r="S15" i="6" a="1"/>
  <c r="S15" i="6" s="1"/>
  <c r="Q15" i="6" a="1"/>
  <c r="Q15" i="6" s="1"/>
  <c r="O15" i="6" a="1"/>
  <c r="O15" i="6" s="1"/>
  <c r="M15" i="6" a="1"/>
  <c r="M15" i="6" s="1"/>
  <c r="K15" i="6" a="1"/>
  <c r="K15" i="6" s="1"/>
  <c r="W14" i="6" a="1"/>
  <c r="W14" i="6" s="1"/>
  <c r="U14" i="6" a="1"/>
  <c r="U14" i="6" s="1"/>
  <c r="S14" i="6" a="1"/>
  <c r="S14" i="6" s="1"/>
  <c r="Q14" i="6" a="1"/>
  <c r="Q14" i="6" s="1"/>
  <c r="O14" i="6" a="1"/>
  <c r="O14" i="6" s="1"/>
  <c r="M14" i="6" a="1"/>
  <c r="M14" i="6" s="1"/>
  <c r="K14" i="6" a="1"/>
  <c r="K14" i="6" s="1"/>
  <c r="W13" i="6" a="1"/>
  <c r="W13" i="6" s="1"/>
  <c r="U13" i="6" a="1"/>
  <c r="U13" i="6" s="1"/>
  <c r="S13" i="6" a="1"/>
  <c r="S13" i="6" s="1"/>
  <c r="Q13" i="6" a="1"/>
  <c r="Q13" i="6" s="1"/>
  <c r="O13" i="6" a="1"/>
  <c r="O13" i="6" s="1"/>
  <c r="M13" i="6" a="1"/>
  <c r="M13" i="6" s="1"/>
  <c r="K13" i="6" a="1"/>
  <c r="K13" i="6" s="1"/>
  <c r="W12" i="6" a="1"/>
  <c r="W12" i="6" s="1"/>
  <c r="U12" i="6" a="1"/>
  <c r="U12" i="6" s="1"/>
  <c r="S12" i="6" a="1"/>
  <c r="S12" i="6" s="1"/>
  <c r="Q12" i="6" a="1"/>
  <c r="Q12" i="6" s="1"/>
  <c r="O12" i="6" a="1"/>
  <c r="O12" i="6" s="1"/>
  <c r="M12" i="6" a="1"/>
  <c r="M12" i="6" s="1"/>
  <c r="K12" i="6" a="1"/>
  <c r="K12" i="6" s="1"/>
  <c r="W11" i="6" a="1"/>
  <c r="W11" i="6" s="1"/>
  <c r="U11" i="6" a="1"/>
  <c r="U11" i="6" s="1"/>
  <c r="S11" i="6" a="1"/>
  <c r="S11" i="6" s="1"/>
  <c r="Q11" i="6" a="1"/>
  <c r="Q11" i="6" s="1"/>
  <c r="O11" i="6" a="1"/>
  <c r="O11" i="6" s="1"/>
  <c r="M11" i="6" a="1"/>
  <c r="M11" i="6" s="1"/>
  <c r="K11" i="6" a="1"/>
  <c r="K11" i="6" s="1"/>
  <c r="W10" i="6" a="1"/>
  <c r="W10" i="6" s="1"/>
  <c r="U10" i="6" a="1"/>
  <c r="U10" i="6" s="1"/>
  <c r="S10" i="6" a="1"/>
  <c r="S10" i="6" s="1"/>
  <c r="Q10" i="6" a="1"/>
  <c r="Q10" i="6" s="1"/>
  <c r="O10" i="6" a="1"/>
  <c r="O10" i="6" s="1"/>
  <c r="M10" i="6" a="1"/>
  <c r="M10" i="6" s="1"/>
  <c r="K10" i="6" a="1"/>
  <c r="K10" i="6" s="1"/>
  <c r="W9" i="6" a="1"/>
  <c r="W9" i="6" s="1"/>
  <c r="U9" i="6" a="1"/>
  <c r="U9" i="6" s="1"/>
  <c r="S9" i="6" a="1"/>
  <c r="S9" i="6" s="1"/>
  <c r="Q9" i="6" a="1"/>
  <c r="Q9" i="6" s="1"/>
  <c r="O9" i="6" a="1"/>
  <c r="O9" i="6" s="1"/>
  <c r="M9" i="6" a="1"/>
  <c r="M9" i="6" s="1"/>
  <c r="K9" i="6" a="1"/>
  <c r="K9" i="6" s="1"/>
  <c r="W8" i="6" a="1"/>
  <c r="W8" i="6" s="1"/>
  <c r="U8" i="6" a="1"/>
  <c r="U8" i="6" s="1"/>
  <c r="S8" i="6" a="1"/>
  <c r="S8" i="6" s="1"/>
  <c r="Q8" i="6" a="1"/>
  <c r="Q8" i="6" s="1"/>
  <c r="O8" i="6" a="1"/>
  <c r="O8" i="6" s="1"/>
  <c r="M8" i="6" a="1"/>
  <c r="M8" i="6" s="1"/>
  <c r="K8" i="6" a="1"/>
  <c r="K8" i="6" s="1"/>
  <c r="W7" i="6" a="1"/>
  <c r="W7" i="6" s="1"/>
  <c r="U7" i="6" a="1"/>
  <c r="U7" i="6" s="1"/>
  <c r="W6" i="6" a="1"/>
  <c r="W6" i="6" s="1"/>
  <c r="U6" i="6" a="1"/>
  <c r="U6" i="6" s="1"/>
  <c r="W5" i="6" a="1"/>
  <c r="W5" i="6" s="1"/>
  <c r="U5" i="6" a="1"/>
  <c r="U5" i="6" s="1"/>
  <c r="W4" i="6" a="1"/>
  <c r="W4" i="6" s="1"/>
  <c r="U4" i="6" a="1"/>
  <c r="U4" i="6" s="1"/>
  <c r="O23" i="7" a="1"/>
  <c r="O23" i="7" s="1"/>
  <c r="M23" i="7" a="1"/>
  <c r="M23" i="7" s="1"/>
  <c r="K23" i="7" a="1"/>
  <c r="K23" i="7" s="1"/>
  <c r="O22" i="7" a="1"/>
  <c r="O22" i="7" s="1"/>
  <c r="M22" i="7" a="1"/>
  <c r="M22" i="7" s="1"/>
  <c r="K22" i="7" a="1"/>
  <c r="K22" i="7" s="1"/>
  <c r="O21" i="7" a="1"/>
  <c r="O21" i="7" s="1"/>
  <c r="M21" i="7" a="1"/>
  <c r="M21" i="7" s="1"/>
  <c r="K21" i="7" a="1"/>
  <c r="K21" i="7" s="1"/>
  <c r="O20" i="7" a="1"/>
  <c r="O20" i="7" s="1"/>
  <c r="M20" i="7" a="1"/>
  <c r="M20" i="7" s="1"/>
  <c r="K20" i="7" a="1"/>
  <c r="K20" i="7" s="1"/>
  <c r="W19" i="7" a="1"/>
  <c r="W19" i="7" s="1"/>
  <c r="U19" i="7" a="1"/>
  <c r="U19" i="7" s="1"/>
  <c r="S19" i="7" a="1"/>
  <c r="S19" i="7" s="1"/>
  <c r="Q19" i="7" a="1"/>
  <c r="Q19" i="7" s="1"/>
  <c r="O19" i="7" a="1"/>
  <c r="O19" i="7" s="1"/>
  <c r="M19" i="7" a="1"/>
  <c r="M19" i="7" s="1"/>
  <c r="K19" i="7" a="1"/>
  <c r="K19" i="7" s="1"/>
  <c r="W18" i="7" a="1"/>
  <c r="W18" i="7" s="1"/>
  <c r="U18" i="7" a="1"/>
  <c r="U18" i="7" s="1"/>
  <c r="S18" i="7" a="1"/>
  <c r="S18" i="7" s="1"/>
  <c r="Q18" i="7" a="1"/>
  <c r="Q18" i="7" s="1"/>
  <c r="O18" i="7" a="1"/>
  <c r="O18" i="7" s="1"/>
  <c r="M18" i="7" a="1"/>
  <c r="M18" i="7" s="1"/>
  <c r="K18" i="7" a="1"/>
  <c r="K18" i="7" s="1"/>
  <c r="W17" i="7" a="1"/>
  <c r="W17" i="7" s="1"/>
  <c r="U17" i="7" a="1"/>
  <c r="U17" i="7" s="1"/>
  <c r="S17" i="7" a="1"/>
  <c r="S17" i="7" s="1"/>
  <c r="Q17" i="7" a="1"/>
  <c r="Q17" i="7" s="1"/>
  <c r="O17" i="7" a="1"/>
  <c r="O17" i="7" s="1"/>
  <c r="M17" i="7" a="1"/>
  <c r="M17" i="7" s="1"/>
  <c r="K17" i="7" a="1"/>
  <c r="K17" i="7" s="1"/>
  <c r="W16" i="7" a="1"/>
  <c r="W16" i="7" s="1"/>
  <c r="U16" i="7" a="1"/>
  <c r="U16" i="7" s="1"/>
  <c r="S16" i="7" a="1"/>
  <c r="S16" i="7" s="1"/>
  <c r="Q16" i="7" a="1"/>
  <c r="Q16" i="7" s="1"/>
  <c r="O16" i="7" a="1"/>
  <c r="O16" i="7" s="1"/>
  <c r="M16" i="7" a="1"/>
  <c r="M16" i="7" s="1"/>
  <c r="K16" i="7" a="1"/>
  <c r="K16" i="7" s="1"/>
  <c r="W15" i="7" a="1"/>
  <c r="W15" i="7" s="1"/>
  <c r="U15" i="7" a="1"/>
  <c r="U15" i="7" s="1"/>
  <c r="S15" i="7" a="1"/>
  <c r="S15" i="7" s="1"/>
  <c r="Q15" i="7" a="1"/>
  <c r="Q15" i="7" s="1"/>
  <c r="O15" i="7" a="1"/>
  <c r="O15" i="7" s="1"/>
  <c r="M15" i="7" a="1"/>
  <c r="M15" i="7" s="1"/>
  <c r="K15" i="7" a="1"/>
  <c r="K15" i="7" s="1"/>
  <c r="W14" i="7" a="1"/>
  <c r="W14" i="7" s="1"/>
  <c r="U14" i="7" a="1"/>
  <c r="U14" i="7" s="1"/>
  <c r="S14" i="7" a="1"/>
  <c r="S14" i="7" s="1"/>
  <c r="Q14" i="7" a="1"/>
  <c r="Q14" i="7" s="1"/>
  <c r="O14" i="7" a="1"/>
  <c r="O14" i="7" s="1"/>
  <c r="M14" i="7" a="1"/>
  <c r="M14" i="7" s="1"/>
  <c r="K14" i="7" a="1"/>
  <c r="K14" i="7" s="1"/>
  <c r="W13" i="7" a="1"/>
  <c r="W13" i="7" s="1"/>
  <c r="U13" i="7" a="1"/>
  <c r="U13" i="7" s="1"/>
  <c r="S13" i="7" a="1"/>
  <c r="S13" i="7" s="1"/>
  <c r="Q13" i="7" a="1"/>
  <c r="Q13" i="7" s="1"/>
  <c r="O13" i="7" a="1"/>
  <c r="O13" i="7" s="1"/>
  <c r="M13" i="7" a="1"/>
  <c r="M13" i="7" s="1"/>
  <c r="K13" i="7" a="1"/>
  <c r="K13" i="7" s="1"/>
  <c r="W12" i="7" a="1"/>
  <c r="W12" i="7" s="1"/>
  <c r="U12" i="7" a="1"/>
  <c r="U12" i="7" s="1"/>
  <c r="S12" i="7" a="1"/>
  <c r="S12" i="7" s="1"/>
  <c r="Q12" i="7" a="1"/>
  <c r="Q12" i="7" s="1"/>
  <c r="O12" i="7" a="1"/>
  <c r="O12" i="7" s="1"/>
  <c r="M12" i="7" a="1"/>
  <c r="M12" i="7" s="1"/>
  <c r="K12" i="7" a="1"/>
  <c r="K12" i="7" s="1"/>
  <c r="W11" i="7" a="1"/>
  <c r="W11" i="7" s="1"/>
  <c r="U11" i="7" a="1"/>
  <c r="U11" i="7" s="1"/>
  <c r="S11" i="7" a="1"/>
  <c r="S11" i="7" s="1"/>
  <c r="Q11" i="7" a="1"/>
  <c r="Q11" i="7" s="1"/>
  <c r="O11" i="7" a="1"/>
  <c r="O11" i="7" s="1"/>
  <c r="M11" i="7" a="1"/>
  <c r="M11" i="7" s="1"/>
  <c r="K11" i="7" a="1"/>
  <c r="K11" i="7" s="1"/>
  <c r="W10" i="7" a="1"/>
  <c r="W10" i="7" s="1"/>
  <c r="U10" i="7" a="1"/>
  <c r="U10" i="7" s="1"/>
  <c r="S10" i="7" a="1"/>
  <c r="S10" i="7" s="1"/>
  <c r="Q10" i="7" a="1"/>
  <c r="Q10" i="7" s="1"/>
  <c r="O10" i="7" a="1"/>
  <c r="O10" i="7" s="1"/>
  <c r="M10" i="7" a="1"/>
  <c r="M10" i="7" s="1"/>
  <c r="K10" i="7" a="1"/>
  <c r="K10" i="7" s="1"/>
  <c r="W9" i="7" a="1"/>
  <c r="W9" i="7" s="1"/>
  <c r="U9" i="7" a="1"/>
  <c r="U9" i="7" s="1"/>
  <c r="S9" i="7" a="1"/>
  <c r="S9" i="7" s="1"/>
  <c r="Q9" i="7" a="1"/>
  <c r="Q9" i="7" s="1"/>
  <c r="O9" i="7" a="1"/>
  <c r="O9" i="7" s="1"/>
  <c r="M9" i="7" a="1"/>
  <c r="M9" i="7" s="1"/>
  <c r="K9" i="7" a="1"/>
  <c r="K9" i="7" s="1"/>
  <c r="W8" i="7" a="1"/>
  <c r="W8" i="7" s="1"/>
  <c r="U8" i="7" a="1"/>
  <c r="U8" i="7" s="1"/>
  <c r="S8" i="7" a="1"/>
  <c r="S8" i="7" s="1"/>
  <c r="Q8" i="7" a="1"/>
  <c r="Q8" i="7" s="1"/>
  <c r="O8" i="7" a="1"/>
  <c r="O8" i="7" s="1"/>
  <c r="M8" i="7" a="1"/>
  <c r="M8" i="7" s="1"/>
  <c r="K8" i="7" a="1"/>
  <c r="K8" i="7" s="1"/>
  <c r="W7" i="7" a="1"/>
  <c r="W7" i="7" s="1"/>
  <c r="U7" i="7" a="1"/>
  <c r="U7" i="7" s="1"/>
  <c r="S7" i="7" a="1"/>
  <c r="S7" i="7" s="1"/>
  <c r="Q7" i="7" a="1"/>
  <c r="Q7" i="7" s="1"/>
  <c r="O7" i="7" a="1"/>
  <c r="O7" i="7" s="1"/>
  <c r="M7" i="7" a="1"/>
  <c r="M7" i="7" s="1"/>
  <c r="W6" i="7" a="1"/>
  <c r="W6" i="7" s="1"/>
  <c r="U6" i="7" a="1"/>
  <c r="U6" i="7" s="1"/>
  <c r="S6" i="7" a="1"/>
  <c r="S6" i="7" s="1"/>
  <c r="Q6" i="7" a="1"/>
  <c r="Q6" i="7" s="1"/>
  <c r="O6" i="7" a="1"/>
  <c r="O6" i="7" s="1"/>
  <c r="M6" i="7" a="1"/>
  <c r="M6" i="7" s="1"/>
  <c r="W5" i="7" a="1"/>
  <c r="W5" i="7" s="1"/>
  <c r="U5" i="7" a="1"/>
  <c r="U5" i="7" s="1"/>
  <c r="S5" i="7" a="1"/>
  <c r="S5" i="7" s="1"/>
  <c r="Q5" i="7" a="1"/>
  <c r="Q5" i="7" s="1"/>
  <c r="O5" i="7" a="1"/>
  <c r="O5" i="7" s="1"/>
  <c r="M5" i="7" a="1"/>
  <c r="M5" i="7" s="1"/>
  <c r="W4" i="7" a="1"/>
  <c r="W4" i="7" s="1"/>
  <c r="U4" i="7" a="1"/>
  <c r="U4" i="7" s="1"/>
  <c r="S4" i="7" a="1"/>
  <c r="S4" i="7" s="1"/>
  <c r="Q4" i="7" a="1"/>
  <c r="Q4" i="7" s="1"/>
  <c r="O4" i="7" a="1"/>
  <c r="O4" i="7" s="1"/>
  <c r="Q23" i="8" a="1"/>
  <c r="Q23" i="8" s="1"/>
  <c r="O23" i="8" a="1"/>
  <c r="O23" i="8" s="1"/>
  <c r="M23" i="8" a="1"/>
  <c r="M23" i="8" s="1"/>
  <c r="K23" i="8" a="1"/>
  <c r="K23" i="8" s="1"/>
  <c r="Q22" i="8" a="1"/>
  <c r="Q22" i="8" s="1"/>
  <c r="O22" i="8" a="1"/>
  <c r="O22" i="8" s="1"/>
  <c r="M22" i="8" a="1"/>
  <c r="M22" i="8" s="1"/>
  <c r="K22" i="8" a="1"/>
  <c r="K22" i="8" s="1"/>
  <c r="Q21" i="8" a="1"/>
  <c r="Q21" i="8" s="1"/>
  <c r="O21" i="8" a="1"/>
  <c r="O21" i="8" s="1"/>
  <c r="M21" i="8" a="1"/>
  <c r="M21" i="8" s="1"/>
  <c r="K21" i="8" a="1"/>
  <c r="K21" i="8" s="1"/>
  <c r="Q20" i="8" a="1"/>
  <c r="Q20" i="8" s="1"/>
  <c r="O20" i="8" a="1"/>
  <c r="O20" i="8" s="1"/>
  <c r="M20" i="8" a="1"/>
  <c r="M20" i="8" s="1"/>
  <c r="K20" i="8" a="1"/>
  <c r="K20" i="8" s="1"/>
  <c r="W19" i="8" a="1"/>
  <c r="W19" i="8" s="1"/>
  <c r="U19" i="8" a="1"/>
  <c r="U19" i="8" s="1"/>
  <c r="S19" i="8" a="1"/>
  <c r="S19" i="8" s="1"/>
  <c r="Q19" i="8" a="1"/>
  <c r="Q19" i="8" s="1"/>
  <c r="O19" i="8" a="1"/>
  <c r="O19" i="8" s="1"/>
  <c r="M19" i="8" a="1"/>
  <c r="M19" i="8" s="1"/>
  <c r="K19" i="8" a="1"/>
  <c r="K19" i="8" s="1"/>
  <c r="W18" i="8" a="1"/>
  <c r="W18" i="8" s="1"/>
  <c r="U18" i="8" a="1"/>
  <c r="U18" i="8" s="1"/>
  <c r="S18" i="8" a="1"/>
  <c r="S18" i="8" s="1"/>
  <c r="Q18" i="8" a="1"/>
  <c r="Q18" i="8" s="1"/>
  <c r="O18" i="8" a="1"/>
  <c r="O18" i="8" s="1"/>
  <c r="M18" i="8" a="1"/>
  <c r="M18" i="8" s="1"/>
  <c r="K18" i="8" a="1"/>
  <c r="K18" i="8" s="1"/>
  <c r="W17" i="8" a="1"/>
  <c r="W17" i="8" s="1"/>
  <c r="U17" i="8" a="1"/>
  <c r="U17" i="8" s="1"/>
  <c r="S17" i="8" a="1"/>
  <c r="S17" i="8" s="1"/>
  <c r="Q17" i="8" a="1"/>
  <c r="Q17" i="8" s="1"/>
  <c r="O17" i="8" a="1"/>
  <c r="O17" i="8" s="1"/>
  <c r="M17" i="8" a="1"/>
  <c r="M17" i="8" s="1"/>
  <c r="K17" i="8" a="1"/>
  <c r="K17" i="8" s="1"/>
  <c r="W16" i="8" a="1"/>
  <c r="W16" i="8" s="1"/>
  <c r="U16" i="8" a="1"/>
  <c r="U16" i="8" s="1"/>
  <c r="S16" i="8" a="1"/>
  <c r="S16" i="8" s="1"/>
  <c r="Q16" i="8" a="1"/>
  <c r="Q16" i="8" s="1"/>
  <c r="O16" i="8" a="1"/>
  <c r="O16" i="8" s="1"/>
  <c r="M16" i="8" a="1"/>
  <c r="M16" i="8" s="1"/>
  <c r="K16" i="8" a="1"/>
  <c r="K16" i="8" s="1"/>
  <c r="W15" i="8" a="1"/>
  <c r="W15" i="8" s="1"/>
  <c r="U15" i="8" a="1"/>
  <c r="U15" i="8" s="1"/>
  <c r="S15" i="8" a="1"/>
  <c r="S15" i="8" s="1"/>
  <c r="Q15" i="8" a="1"/>
  <c r="Q15" i="8" s="1"/>
  <c r="O15" i="8" a="1"/>
  <c r="O15" i="8" s="1"/>
  <c r="M15" i="8" a="1"/>
  <c r="M15" i="8" s="1"/>
  <c r="K15" i="8" a="1"/>
  <c r="K15" i="8" s="1"/>
  <c r="W14" i="8" a="1"/>
  <c r="W14" i="8" s="1"/>
  <c r="U14" i="8" a="1"/>
  <c r="U14" i="8" s="1"/>
  <c r="S14" i="8" a="1"/>
  <c r="S14" i="8" s="1"/>
  <c r="Q14" i="8" a="1"/>
  <c r="Q14" i="8" s="1"/>
  <c r="O14" i="8" a="1"/>
  <c r="O14" i="8" s="1"/>
  <c r="M14" i="8" a="1"/>
  <c r="M14" i="8" s="1"/>
  <c r="K14" i="8" a="1"/>
  <c r="K14" i="8" s="1"/>
  <c r="W13" i="8" a="1"/>
  <c r="W13" i="8" s="1"/>
  <c r="U13" i="8" a="1"/>
  <c r="U13" i="8" s="1"/>
  <c r="S13" i="8" a="1"/>
  <c r="S13" i="8" s="1"/>
  <c r="Q13" i="8" a="1"/>
  <c r="Q13" i="8" s="1"/>
  <c r="O13" i="8" a="1"/>
  <c r="O13" i="8" s="1"/>
  <c r="M13" i="8" a="1"/>
  <c r="M13" i="8" s="1"/>
  <c r="K13" i="8" a="1"/>
  <c r="K13" i="8" s="1"/>
  <c r="W12" i="8" a="1"/>
  <c r="W12" i="8" s="1"/>
  <c r="U12" i="8" a="1"/>
  <c r="U12" i="8" s="1"/>
  <c r="S12" i="8" a="1"/>
  <c r="S12" i="8" s="1"/>
  <c r="Q12" i="8" a="1"/>
  <c r="Q12" i="8" s="1"/>
  <c r="O12" i="8" a="1"/>
  <c r="O12" i="8" s="1"/>
  <c r="M12" i="8" a="1"/>
  <c r="M12" i="8" s="1"/>
  <c r="K12" i="8" a="1"/>
  <c r="K12" i="8" s="1"/>
  <c r="W11" i="8" a="1"/>
  <c r="W11" i="8" s="1"/>
  <c r="U11" i="8" a="1"/>
  <c r="U11" i="8" s="1"/>
  <c r="S11" i="8" a="1"/>
  <c r="S11" i="8" s="1"/>
  <c r="Q11" i="8" a="1"/>
  <c r="Q11" i="8" s="1"/>
  <c r="O11" i="8" a="1"/>
  <c r="O11" i="8" s="1"/>
  <c r="M11" i="8" a="1"/>
  <c r="M11" i="8" s="1"/>
  <c r="K11" i="8" a="1"/>
  <c r="K11" i="8" s="1"/>
  <c r="W10" i="8" a="1"/>
  <c r="W10" i="8" s="1"/>
  <c r="U10" i="8" a="1"/>
  <c r="U10" i="8" s="1"/>
  <c r="S10" i="8" a="1"/>
  <c r="S10" i="8" s="1"/>
  <c r="Q10" i="8" a="1"/>
  <c r="Q10" i="8" s="1"/>
  <c r="O10" i="8" a="1"/>
  <c r="O10" i="8" s="1"/>
  <c r="M10" i="8" a="1"/>
  <c r="M10" i="8" s="1"/>
  <c r="K10" i="8" a="1"/>
  <c r="K10" i="8" s="1"/>
  <c r="W9" i="8" a="1"/>
  <c r="W9" i="8" s="1"/>
  <c r="U9" i="8" a="1"/>
  <c r="U9" i="8" s="1"/>
  <c r="S9" i="8" a="1"/>
  <c r="S9" i="8" s="1"/>
  <c r="Q9" i="8" a="1"/>
  <c r="Q9" i="8" s="1"/>
  <c r="O9" i="8" a="1"/>
  <c r="O9" i="8" s="1"/>
  <c r="M9" i="8" a="1"/>
  <c r="M9" i="8" s="1"/>
  <c r="K9" i="8" a="1"/>
  <c r="K9" i="8" s="1"/>
  <c r="W8" i="8" a="1"/>
  <c r="W8" i="8" s="1"/>
  <c r="U8" i="8" a="1"/>
  <c r="U8" i="8" s="1"/>
  <c r="S8" i="8" a="1"/>
  <c r="S8" i="8" s="1"/>
  <c r="Q8" i="8" a="1"/>
  <c r="Q8" i="8" s="1"/>
  <c r="O8" i="8" a="1"/>
  <c r="O8" i="8" s="1"/>
  <c r="M8" i="8" a="1"/>
  <c r="M8" i="8" s="1"/>
  <c r="K8" i="8" a="1"/>
  <c r="K8" i="8" s="1"/>
  <c r="W7" i="8" a="1"/>
  <c r="W7" i="8" s="1"/>
  <c r="U7" i="8" a="1"/>
  <c r="U7" i="8" s="1"/>
  <c r="S7" i="8" a="1"/>
  <c r="S7" i="8" s="1"/>
  <c r="Q7" i="8" a="1"/>
  <c r="Q7" i="8" s="1"/>
  <c r="W6" i="8" a="1"/>
  <c r="W6" i="8" s="1"/>
  <c r="U6" i="8" a="1"/>
  <c r="U6" i="8" s="1"/>
  <c r="S6" i="8" a="1"/>
  <c r="S6" i="8" s="1"/>
  <c r="Q6" i="8" a="1"/>
  <c r="Q6" i="8" s="1"/>
  <c r="W5" i="8" a="1"/>
  <c r="W5" i="8" s="1"/>
  <c r="U5" i="8" a="1"/>
  <c r="U5" i="8" s="1"/>
  <c r="S5" i="8" a="1"/>
  <c r="S5" i="8" s="1"/>
  <c r="Q5" i="8" a="1"/>
  <c r="Q5" i="8" s="1"/>
  <c r="W4" i="8" a="1"/>
  <c r="W4" i="8" s="1"/>
  <c r="U4" i="8" a="1"/>
  <c r="U4" i="8" s="1"/>
  <c r="S4" i="8" a="1"/>
  <c r="S4" i="8" s="1"/>
  <c r="Q4" i="8" a="1"/>
  <c r="Q4" i="8" s="1"/>
  <c r="Q23" i="9" a="1"/>
  <c r="Q23" i="9" s="1"/>
  <c r="O23" i="9" a="1"/>
  <c r="O23" i="9" s="1"/>
  <c r="M23" i="9" a="1"/>
  <c r="M23" i="9" s="1"/>
  <c r="K23" i="9" a="1"/>
  <c r="K23" i="9" s="1"/>
  <c r="Q22" i="9" a="1"/>
  <c r="Q22" i="9" s="1"/>
  <c r="O22" i="9" a="1"/>
  <c r="O22" i="9" s="1"/>
  <c r="M22" i="9" a="1"/>
  <c r="M22" i="9" s="1"/>
  <c r="K22" i="9" a="1"/>
  <c r="K22" i="9" s="1"/>
  <c r="Q21" i="9" a="1"/>
  <c r="Q21" i="9" s="1"/>
  <c r="O21" i="9" a="1"/>
  <c r="O21" i="9" s="1"/>
  <c r="M21" i="9" a="1"/>
  <c r="M21" i="9" s="1"/>
  <c r="K21" i="9" a="1"/>
  <c r="K21" i="9" s="1"/>
  <c r="Q20" i="9" a="1"/>
  <c r="Q20" i="9" s="1"/>
  <c r="O20" i="9" a="1"/>
  <c r="O20" i="9" s="1"/>
  <c r="M20" i="9" a="1"/>
  <c r="M20" i="9" s="1"/>
  <c r="K20" i="9" a="1"/>
  <c r="K20" i="9" s="1"/>
  <c r="W19" i="9" a="1"/>
  <c r="W19" i="9" s="1"/>
  <c r="U19" i="9" a="1"/>
  <c r="U19" i="9" s="1"/>
  <c r="S19" i="9" a="1"/>
  <c r="S19" i="9" s="1"/>
  <c r="Q19" i="9" a="1"/>
  <c r="Q19" i="9" s="1"/>
  <c r="O19" i="9" a="1"/>
  <c r="O19" i="9" s="1"/>
  <c r="M19" i="9" a="1"/>
  <c r="M19" i="9" s="1"/>
  <c r="K19" i="9" a="1"/>
  <c r="K19" i="9" s="1"/>
  <c r="W18" i="9" a="1"/>
  <c r="W18" i="9" s="1"/>
  <c r="U18" i="9" a="1"/>
  <c r="U18" i="9" s="1"/>
  <c r="S18" i="9" a="1"/>
  <c r="S18" i="9" s="1"/>
  <c r="Q18" i="9" a="1"/>
  <c r="Q18" i="9" s="1"/>
  <c r="O18" i="9" a="1"/>
  <c r="O18" i="9" s="1"/>
  <c r="M18" i="9" a="1"/>
  <c r="M18" i="9" s="1"/>
  <c r="K18" i="9" a="1"/>
  <c r="K18" i="9" s="1"/>
  <c r="W17" i="9" a="1"/>
  <c r="W17" i="9" s="1"/>
  <c r="U17" i="9" a="1"/>
  <c r="U17" i="9" s="1"/>
  <c r="S17" i="9" a="1"/>
  <c r="S17" i="9" s="1"/>
  <c r="Q17" i="9" a="1"/>
  <c r="Q17" i="9" s="1"/>
  <c r="O17" i="9" a="1"/>
  <c r="O17" i="9" s="1"/>
  <c r="M17" i="9" a="1"/>
  <c r="M17" i="9" s="1"/>
  <c r="K17" i="9" a="1"/>
  <c r="K17" i="9" s="1"/>
  <c r="W16" i="9" a="1"/>
  <c r="W16" i="9" s="1"/>
  <c r="U16" i="9" a="1"/>
  <c r="U16" i="9" s="1"/>
  <c r="S16" i="9" a="1"/>
  <c r="S16" i="9" s="1"/>
  <c r="Q16" i="9" a="1"/>
  <c r="Q16" i="9" s="1"/>
  <c r="O16" i="9" a="1"/>
  <c r="O16" i="9" s="1"/>
  <c r="M16" i="9" a="1"/>
  <c r="M16" i="9" s="1"/>
  <c r="K16" i="9" a="1"/>
  <c r="K16" i="9" s="1"/>
  <c r="W15" i="9" a="1"/>
  <c r="W15" i="9" s="1"/>
  <c r="U15" i="9" a="1"/>
  <c r="U15" i="9" s="1"/>
  <c r="S15" i="9" a="1"/>
  <c r="S15" i="9" s="1"/>
  <c r="Q15" i="9" a="1"/>
  <c r="Q15" i="9" s="1"/>
  <c r="O15" i="9" a="1"/>
  <c r="O15" i="9" s="1"/>
  <c r="M15" i="9" a="1"/>
  <c r="M15" i="9" s="1"/>
  <c r="K15" i="9" a="1"/>
  <c r="K15" i="9" s="1"/>
  <c r="W14" i="9" a="1"/>
  <c r="W14" i="9" s="1"/>
  <c r="U14" i="9" a="1"/>
  <c r="U14" i="9" s="1"/>
  <c r="S14" i="9" a="1"/>
  <c r="S14" i="9" s="1"/>
  <c r="Q14" i="9" a="1"/>
  <c r="Q14" i="9" s="1"/>
  <c r="O14" i="9" a="1"/>
  <c r="O14" i="9" s="1"/>
  <c r="M14" i="9" a="1"/>
  <c r="M14" i="9" s="1"/>
  <c r="K14" i="9" a="1"/>
  <c r="K14" i="9" s="1"/>
  <c r="W13" i="9" a="1"/>
  <c r="W13" i="9" s="1"/>
  <c r="U13" i="9" a="1"/>
  <c r="U13" i="9" s="1"/>
  <c r="S13" i="9" a="1"/>
  <c r="S13" i="9" s="1"/>
  <c r="Q13" i="9" a="1"/>
  <c r="Q13" i="9" s="1"/>
  <c r="O13" i="9" a="1"/>
  <c r="O13" i="9" s="1"/>
  <c r="M13" i="9" a="1"/>
  <c r="M13" i="9" s="1"/>
  <c r="K13" i="9" a="1"/>
  <c r="K13" i="9" s="1"/>
  <c r="W12" i="9" a="1"/>
  <c r="W12" i="9" s="1"/>
  <c r="U12" i="9" a="1"/>
  <c r="U12" i="9" s="1"/>
  <c r="S12" i="9" a="1"/>
  <c r="S12" i="9" s="1"/>
  <c r="Q12" i="9" a="1"/>
  <c r="Q12" i="9" s="1"/>
  <c r="O12" i="9" a="1"/>
  <c r="O12" i="9" s="1"/>
  <c r="M12" i="9" a="1"/>
  <c r="M12" i="9" s="1"/>
  <c r="K12" i="9" a="1"/>
  <c r="K12" i="9" s="1"/>
  <c r="W11" i="9" a="1"/>
  <c r="W11" i="9" s="1"/>
  <c r="U11" i="9" a="1"/>
  <c r="U11" i="9" s="1"/>
  <c r="S11" i="9" a="1"/>
  <c r="S11" i="9" s="1"/>
  <c r="Q11" i="9" a="1"/>
  <c r="Q11" i="9" s="1"/>
  <c r="O11" i="9" a="1"/>
  <c r="O11" i="9" s="1"/>
  <c r="M11" i="9" a="1"/>
  <c r="M11" i="9" s="1"/>
  <c r="K11" i="9" a="1"/>
  <c r="K11" i="9" s="1"/>
  <c r="W10" i="9" a="1"/>
  <c r="W10" i="9" s="1"/>
  <c r="U10" i="9" a="1"/>
  <c r="U10" i="9" s="1"/>
  <c r="S10" i="9" a="1"/>
  <c r="S10" i="9" s="1"/>
  <c r="Q10" i="9" a="1"/>
  <c r="Q10" i="9" s="1"/>
  <c r="O10" i="9" a="1"/>
  <c r="O10" i="9" s="1"/>
  <c r="M10" i="9" a="1"/>
  <c r="M10" i="9" s="1"/>
  <c r="K10" i="9" a="1"/>
  <c r="K10" i="9" s="1"/>
  <c r="W9" i="9" a="1"/>
  <c r="W9" i="9" s="1"/>
  <c r="U9" i="9" a="1"/>
  <c r="U9" i="9" s="1"/>
  <c r="S9" i="9" a="1"/>
  <c r="S9" i="9" s="1"/>
  <c r="Q9" i="9" a="1"/>
  <c r="Q9" i="9" s="1"/>
  <c r="O9" i="9" a="1"/>
  <c r="O9" i="9" s="1"/>
  <c r="M9" i="9" a="1"/>
  <c r="M9" i="9" s="1"/>
  <c r="K9" i="9" a="1"/>
  <c r="K9" i="9" s="1"/>
  <c r="W8" i="9" a="1"/>
  <c r="W8" i="9" s="1"/>
  <c r="U8" i="9" a="1"/>
  <c r="U8" i="9" s="1"/>
  <c r="S8" i="9" a="1"/>
  <c r="S8" i="9" s="1"/>
  <c r="Q8" i="9" a="1"/>
  <c r="Q8" i="9" s="1"/>
  <c r="O8" i="9" a="1"/>
  <c r="O8" i="9" s="1"/>
  <c r="M8" i="9" a="1"/>
  <c r="M8" i="9" s="1"/>
  <c r="K8" i="9" a="1"/>
  <c r="K8" i="9" s="1"/>
  <c r="W7" i="9" a="1"/>
  <c r="W7" i="9" s="1"/>
  <c r="W6" i="9" a="1"/>
  <c r="W6" i="9" s="1"/>
  <c r="W5" i="9" a="1"/>
  <c r="W5" i="9" s="1"/>
  <c r="W4" i="9" a="1"/>
  <c r="W4" i="9" s="1"/>
  <c r="Q23" i="10" a="1"/>
  <c r="Q23" i="10" s="1"/>
  <c r="O23" i="10" a="1"/>
  <c r="O23" i="10" s="1"/>
  <c r="M23" i="10" a="1"/>
  <c r="M23" i="10" s="1"/>
  <c r="K23" i="10" a="1"/>
  <c r="K23" i="10" s="1"/>
  <c r="Q22" i="10" a="1"/>
  <c r="Q22" i="10" s="1"/>
  <c r="O22" i="10" a="1"/>
  <c r="O22" i="10" s="1"/>
  <c r="M22" i="10" a="1"/>
  <c r="M22" i="10" s="1"/>
  <c r="K22" i="10" a="1"/>
  <c r="K22" i="10" s="1"/>
  <c r="Q21" i="10" a="1"/>
  <c r="Q21" i="10" s="1"/>
  <c r="O21" i="10" a="1"/>
  <c r="O21" i="10" s="1"/>
  <c r="M21" i="10" a="1"/>
  <c r="M21" i="10" s="1"/>
  <c r="K21" i="10" a="1"/>
  <c r="K21" i="10" s="1"/>
  <c r="Q20" i="10" a="1"/>
  <c r="Q20" i="10" s="1"/>
  <c r="O20" i="10" a="1"/>
  <c r="O20" i="10" s="1"/>
  <c r="M20" i="10" a="1"/>
  <c r="M20" i="10" s="1"/>
  <c r="K20" i="10" a="1"/>
  <c r="K20" i="10" s="1"/>
  <c r="W19" i="10" a="1"/>
  <c r="W19" i="10" s="1"/>
  <c r="U19" i="10" a="1"/>
  <c r="U19" i="10" s="1"/>
  <c r="S19" i="10" a="1"/>
  <c r="S19" i="10" s="1"/>
  <c r="Q19" i="10" a="1"/>
  <c r="Q19" i="10" s="1"/>
  <c r="O19" i="10" a="1"/>
  <c r="O19" i="10" s="1"/>
  <c r="M19" i="10" a="1"/>
  <c r="M19" i="10" s="1"/>
  <c r="K19" i="10" a="1"/>
  <c r="K19" i="10" s="1"/>
  <c r="W18" i="10" a="1"/>
  <c r="W18" i="10" s="1"/>
  <c r="U18" i="10" a="1"/>
  <c r="U18" i="10" s="1"/>
  <c r="S18" i="10" a="1"/>
  <c r="S18" i="10" s="1"/>
  <c r="Q18" i="10" a="1"/>
  <c r="Q18" i="10" s="1"/>
  <c r="O18" i="10" a="1"/>
  <c r="O18" i="10" s="1"/>
  <c r="M18" i="10" a="1"/>
  <c r="M18" i="10" s="1"/>
  <c r="K18" i="10" a="1"/>
  <c r="K18" i="10" s="1"/>
  <c r="W17" i="10" a="1"/>
  <c r="W17" i="10" s="1"/>
  <c r="U17" i="10" a="1"/>
  <c r="U17" i="10" s="1"/>
  <c r="S17" i="10" a="1"/>
  <c r="S17" i="10" s="1"/>
  <c r="Q17" i="10" a="1"/>
  <c r="Q17" i="10" s="1"/>
  <c r="O17" i="10" a="1"/>
  <c r="O17" i="10" s="1"/>
  <c r="M17" i="10" a="1"/>
  <c r="M17" i="10" s="1"/>
  <c r="K17" i="10" a="1"/>
  <c r="K17" i="10" s="1"/>
  <c r="W16" i="10" a="1"/>
  <c r="W16" i="10" s="1"/>
  <c r="U16" i="10" a="1"/>
  <c r="U16" i="10" s="1"/>
  <c r="S16" i="10" a="1"/>
  <c r="S16" i="10" s="1"/>
  <c r="Q16" i="10" a="1"/>
  <c r="Q16" i="10" s="1"/>
  <c r="O16" i="10" a="1"/>
  <c r="O16" i="10" s="1"/>
  <c r="M16" i="10" a="1"/>
  <c r="M16" i="10" s="1"/>
  <c r="K16" i="10" a="1"/>
  <c r="K16" i="10" s="1"/>
  <c r="W15" i="10" a="1"/>
  <c r="W15" i="10" s="1"/>
  <c r="U15" i="10" a="1"/>
  <c r="U15" i="10" s="1"/>
  <c r="S15" i="10" a="1"/>
  <c r="S15" i="10" s="1"/>
  <c r="Q15" i="10" a="1"/>
  <c r="Q15" i="10" s="1"/>
  <c r="O15" i="10" a="1"/>
  <c r="O15" i="10" s="1"/>
  <c r="M15" i="10" a="1"/>
  <c r="M15" i="10" s="1"/>
  <c r="K15" i="10" a="1"/>
  <c r="K15" i="10" s="1"/>
  <c r="W14" i="10" a="1"/>
  <c r="W14" i="10" s="1"/>
  <c r="U14" i="10" a="1"/>
  <c r="U14" i="10" s="1"/>
  <c r="S14" i="10" a="1"/>
  <c r="S14" i="10" s="1"/>
  <c r="Q14" i="10" a="1"/>
  <c r="Q14" i="10" s="1"/>
  <c r="O14" i="10" a="1"/>
  <c r="O14" i="10" s="1"/>
  <c r="M14" i="10" a="1"/>
  <c r="M14" i="10" s="1"/>
  <c r="K14" i="10" a="1"/>
  <c r="K14" i="10" s="1"/>
  <c r="W13" i="10" a="1"/>
  <c r="W13" i="10" s="1"/>
  <c r="U13" i="10" a="1"/>
  <c r="U13" i="10" s="1"/>
  <c r="S13" i="10" a="1"/>
  <c r="S13" i="10" s="1"/>
  <c r="Q13" i="10" a="1"/>
  <c r="Q13" i="10" s="1"/>
  <c r="O13" i="10" a="1"/>
  <c r="O13" i="10" s="1"/>
  <c r="M13" i="10" a="1"/>
  <c r="M13" i="10" s="1"/>
  <c r="K13" i="10" a="1"/>
  <c r="K13" i="10" s="1"/>
  <c r="W12" i="10" a="1"/>
  <c r="W12" i="10" s="1"/>
  <c r="U12" i="10" a="1"/>
  <c r="U12" i="10" s="1"/>
  <c r="S12" i="10" a="1"/>
  <c r="S12" i="10" s="1"/>
  <c r="Q12" i="10" a="1"/>
  <c r="Q12" i="10" s="1"/>
  <c r="O12" i="10" a="1"/>
  <c r="O12" i="10" s="1"/>
  <c r="M12" i="10" a="1"/>
  <c r="M12" i="10" s="1"/>
  <c r="K12" i="10" a="1"/>
  <c r="K12" i="10" s="1"/>
  <c r="W11" i="10" a="1"/>
  <c r="W11" i="10" s="1"/>
  <c r="U11" i="10" a="1"/>
  <c r="U11" i="10" s="1"/>
  <c r="S11" i="10" a="1"/>
  <c r="S11" i="10" s="1"/>
  <c r="Q11" i="10" a="1"/>
  <c r="Q11" i="10" s="1"/>
  <c r="O11" i="10" a="1"/>
  <c r="O11" i="10" s="1"/>
  <c r="M11" i="10" a="1"/>
  <c r="M11" i="10" s="1"/>
  <c r="K11" i="10" a="1"/>
  <c r="K11" i="10" s="1"/>
  <c r="W10" i="10" a="1"/>
  <c r="W10" i="10" s="1"/>
  <c r="U10" i="10" a="1"/>
  <c r="U10" i="10" s="1"/>
  <c r="S10" i="10" a="1"/>
  <c r="S10" i="10" s="1"/>
  <c r="Q10" i="10" a="1"/>
  <c r="Q10" i="10" s="1"/>
  <c r="O10" i="10" a="1"/>
  <c r="O10" i="10" s="1"/>
  <c r="M10" i="10" a="1"/>
  <c r="M10" i="10" s="1"/>
  <c r="K10" i="10" a="1"/>
  <c r="K10" i="10" s="1"/>
  <c r="W9" i="10" a="1"/>
  <c r="W9" i="10" s="1"/>
  <c r="U9" i="10" a="1"/>
  <c r="U9" i="10" s="1"/>
  <c r="S9" i="10" a="1"/>
  <c r="S9" i="10" s="1"/>
  <c r="Q9" i="10" a="1"/>
  <c r="Q9" i="10" s="1"/>
  <c r="O9" i="10" a="1"/>
  <c r="O9" i="10" s="1"/>
  <c r="M9" i="10" a="1"/>
  <c r="M9" i="10" s="1"/>
  <c r="K9" i="10" a="1"/>
  <c r="K9" i="10" s="1"/>
  <c r="W8" i="10" a="1"/>
  <c r="W8" i="10" s="1"/>
  <c r="U8" i="10" a="1"/>
  <c r="U8" i="10" s="1"/>
  <c r="S8" i="10" a="1"/>
  <c r="S8" i="10" s="1"/>
  <c r="Q8" i="10" a="1"/>
  <c r="Q8" i="10" s="1"/>
  <c r="O8" i="10" a="1"/>
  <c r="O8" i="10" s="1"/>
  <c r="M8" i="10" a="1"/>
  <c r="M8" i="10" s="1"/>
  <c r="K8" i="10" a="1"/>
  <c r="K8" i="10" s="1"/>
  <c r="W7" i="10" a="1"/>
  <c r="W7" i="10" s="1"/>
  <c r="U7" i="10" a="1"/>
  <c r="U7" i="10" s="1"/>
  <c r="S7" i="10" a="1"/>
  <c r="S7" i="10" s="1"/>
  <c r="Q7" i="10" a="1"/>
  <c r="Q7" i="10" s="1"/>
  <c r="O7" i="10" a="1"/>
  <c r="O7" i="10" s="1"/>
  <c r="M7" i="10" a="1"/>
  <c r="M7" i="10" s="1"/>
  <c r="W6" i="10" a="1"/>
  <c r="W6" i="10" s="1"/>
  <c r="U6" i="10" a="1"/>
  <c r="U6" i="10" s="1"/>
  <c r="S6" i="10" a="1"/>
  <c r="S6" i="10" s="1"/>
  <c r="Q6" i="10" a="1"/>
  <c r="Q6" i="10" s="1"/>
  <c r="O6" i="10" a="1"/>
  <c r="O6" i="10" s="1"/>
  <c r="M6" i="10" a="1"/>
  <c r="M6" i="10" s="1"/>
  <c r="W5" i="10" a="1"/>
  <c r="W5" i="10" s="1"/>
  <c r="U5" i="10" a="1"/>
  <c r="U5" i="10" s="1"/>
  <c r="S5" i="10" a="1"/>
  <c r="S5" i="10" s="1"/>
  <c r="Q5" i="10" a="1"/>
  <c r="Q5" i="10" s="1"/>
  <c r="O5" i="10" a="1"/>
  <c r="O5" i="10" s="1"/>
  <c r="M5" i="10" a="1"/>
  <c r="M5" i="10" s="1"/>
  <c r="W4" i="10" a="1"/>
  <c r="W4" i="10" s="1"/>
  <c r="U4" i="10" a="1"/>
  <c r="U4" i="10" s="1"/>
  <c r="S4" i="10" a="1"/>
  <c r="S4" i="10" s="1"/>
  <c r="Q4" i="10" a="1"/>
  <c r="Q4" i="10" s="1"/>
  <c r="O4" i="10" a="1"/>
  <c r="O4" i="10" s="1"/>
  <c r="M4" i="10" a="1"/>
  <c r="M4" i="10" s="1"/>
  <c r="Q23" i="11" a="1"/>
  <c r="Q23" i="11" s="1"/>
  <c r="O23" i="11" a="1"/>
  <c r="O23" i="11" s="1"/>
  <c r="M23" i="11" a="1"/>
  <c r="M23" i="11" s="1"/>
  <c r="K23" i="11" a="1"/>
  <c r="K23" i="11" s="1"/>
  <c r="Q22" i="11" a="1"/>
  <c r="Q22" i="11" s="1"/>
  <c r="O22" i="11" a="1"/>
  <c r="O22" i="11" s="1"/>
  <c r="M22" i="11" a="1"/>
  <c r="M22" i="11" s="1"/>
  <c r="K22" i="11" a="1"/>
  <c r="K22" i="11" s="1"/>
  <c r="Q21" i="11" a="1"/>
  <c r="Q21" i="11" s="1"/>
  <c r="O21" i="11" a="1"/>
  <c r="O21" i="11" s="1"/>
  <c r="M21" i="11" a="1"/>
  <c r="M21" i="11" s="1"/>
  <c r="K21" i="11" a="1"/>
  <c r="K21" i="11" s="1"/>
  <c r="Q20" i="11" a="1"/>
  <c r="Q20" i="11" s="1"/>
  <c r="O20" i="11" a="1"/>
  <c r="O20" i="11" s="1"/>
  <c r="M20" i="11" a="1"/>
  <c r="M20" i="11" s="1"/>
  <c r="K20" i="11" a="1"/>
  <c r="K20" i="11" s="1"/>
  <c r="W19" i="11" a="1"/>
  <c r="W19" i="11" s="1"/>
  <c r="U19" i="11" a="1"/>
  <c r="U19" i="11" s="1"/>
  <c r="S19" i="11" a="1"/>
  <c r="S19" i="11" s="1"/>
  <c r="Q19" i="11" a="1"/>
  <c r="Q19" i="11" s="1"/>
  <c r="O19" i="11" a="1"/>
  <c r="O19" i="11" s="1"/>
  <c r="M19" i="11" a="1"/>
  <c r="M19" i="11" s="1"/>
  <c r="K19" i="11" a="1"/>
  <c r="K19" i="11" s="1"/>
  <c r="W18" i="11" a="1"/>
  <c r="W18" i="11" s="1"/>
  <c r="U18" i="11" a="1"/>
  <c r="U18" i="11" s="1"/>
  <c r="S18" i="11" a="1"/>
  <c r="S18" i="11" s="1"/>
  <c r="Q18" i="11" a="1"/>
  <c r="Q18" i="11" s="1"/>
  <c r="O18" i="11" a="1"/>
  <c r="O18" i="11" s="1"/>
  <c r="M18" i="11" a="1"/>
  <c r="M18" i="11" s="1"/>
  <c r="K18" i="11" a="1"/>
  <c r="K18" i="11" s="1"/>
  <c r="W17" i="11" a="1"/>
  <c r="W17" i="11" s="1"/>
  <c r="U17" i="11" a="1"/>
  <c r="U17" i="11" s="1"/>
  <c r="S17" i="11" a="1"/>
  <c r="S17" i="11" s="1"/>
  <c r="Q17" i="11" a="1"/>
  <c r="Q17" i="11" s="1"/>
  <c r="O17" i="11" a="1"/>
  <c r="O17" i="11" s="1"/>
  <c r="M17" i="11" a="1"/>
  <c r="M17" i="11" s="1"/>
  <c r="K17" i="11" a="1"/>
  <c r="K17" i="11" s="1"/>
  <c r="W16" i="11" a="1"/>
  <c r="W16" i="11" s="1"/>
  <c r="U16" i="11" a="1"/>
  <c r="U16" i="11" s="1"/>
  <c r="S16" i="11" a="1"/>
  <c r="S16" i="11" s="1"/>
  <c r="Q16" i="11" a="1"/>
  <c r="Q16" i="11" s="1"/>
  <c r="O16" i="11" a="1"/>
  <c r="O16" i="11" s="1"/>
  <c r="M16" i="11" a="1"/>
  <c r="M16" i="11" s="1"/>
  <c r="K16" i="11" a="1"/>
  <c r="K16" i="11" s="1"/>
  <c r="W15" i="11" a="1"/>
  <c r="W15" i="11" s="1"/>
  <c r="U15" i="11" a="1"/>
  <c r="U15" i="11" s="1"/>
  <c r="S15" i="11" a="1"/>
  <c r="S15" i="11" s="1"/>
  <c r="Q15" i="11" a="1"/>
  <c r="Q15" i="11" s="1"/>
  <c r="O15" i="11" a="1"/>
  <c r="O15" i="11" s="1"/>
  <c r="M15" i="11" a="1"/>
  <c r="M15" i="11" s="1"/>
  <c r="K15" i="11" a="1"/>
  <c r="K15" i="11" s="1"/>
  <c r="W14" i="11" a="1"/>
  <c r="W14" i="11" s="1"/>
  <c r="U14" i="11" a="1"/>
  <c r="U14" i="11" s="1"/>
  <c r="S14" i="11" a="1"/>
  <c r="S14" i="11" s="1"/>
  <c r="Q14" i="11" a="1"/>
  <c r="Q14" i="11" s="1"/>
  <c r="O14" i="11" a="1"/>
  <c r="O14" i="11" s="1"/>
  <c r="M14" i="11" a="1"/>
  <c r="M14" i="11" s="1"/>
  <c r="K14" i="11" a="1"/>
  <c r="K14" i="11" s="1"/>
  <c r="W13" i="11" a="1"/>
  <c r="W13" i="11" s="1"/>
  <c r="U13" i="11" a="1"/>
  <c r="U13" i="11" s="1"/>
  <c r="S13" i="11" a="1"/>
  <c r="S13" i="11" s="1"/>
  <c r="Q13" i="11" a="1"/>
  <c r="Q13" i="11" s="1"/>
  <c r="O13" i="11" a="1"/>
  <c r="O13" i="11" s="1"/>
  <c r="M13" i="11" a="1"/>
  <c r="M13" i="11" s="1"/>
  <c r="K13" i="11" a="1"/>
  <c r="K13" i="11" s="1"/>
  <c r="W12" i="11" a="1"/>
  <c r="W12" i="11" s="1"/>
  <c r="U12" i="11" a="1"/>
  <c r="U12" i="11" s="1"/>
  <c r="S12" i="11" a="1"/>
  <c r="S12" i="11" s="1"/>
  <c r="Q12" i="11" a="1"/>
  <c r="Q12" i="11" s="1"/>
  <c r="O12" i="11" a="1"/>
  <c r="O12" i="11" s="1"/>
  <c r="M12" i="11" a="1"/>
  <c r="M12" i="11" s="1"/>
  <c r="K12" i="11" a="1"/>
  <c r="K12" i="11" s="1"/>
  <c r="W11" i="11" a="1"/>
  <c r="W11" i="11" s="1"/>
  <c r="U11" i="11" a="1"/>
  <c r="U11" i="11" s="1"/>
  <c r="S11" i="11" a="1"/>
  <c r="S11" i="11" s="1"/>
  <c r="Q11" i="11" a="1"/>
  <c r="Q11" i="11" s="1"/>
  <c r="O11" i="11" a="1"/>
  <c r="O11" i="11" s="1"/>
  <c r="M11" i="11" a="1"/>
  <c r="M11" i="11" s="1"/>
  <c r="K11" i="11" a="1"/>
  <c r="K11" i="11" s="1"/>
  <c r="W10" i="11" a="1"/>
  <c r="W10" i="11" s="1"/>
  <c r="U10" i="11" a="1"/>
  <c r="U10" i="11" s="1"/>
  <c r="S10" i="11" a="1"/>
  <c r="S10" i="11" s="1"/>
  <c r="Q10" i="11" a="1"/>
  <c r="Q10" i="11" s="1"/>
  <c r="O10" i="11" a="1"/>
  <c r="O10" i="11" s="1"/>
  <c r="M10" i="11" a="1"/>
  <c r="M10" i="11" s="1"/>
  <c r="K10" i="11" a="1"/>
  <c r="K10" i="11" s="1"/>
  <c r="W9" i="11" a="1"/>
  <c r="W9" i="11" s="1"/>
  <c r="U9" i="11" a="1"/>
  <c r="U9" i="11" s="1"/>
  <c r="S9" i="11" a="1"/>
  <c r="S9" i="11" s="1"/>
  <c r="Q9" i="11" a="1"/>
  <c r="Q9" i="11" s="1"/>
  <c r="O9" i="11" a="1"/>
  <c r="O9" i="11" s="1"/>
  <c r="M9" i="11" a="1"/>
  <c r="M9" i="11" s="1"/>
  <c r="K9" i="11" a="1"/>
  <c r="K9" i="11" s="1"/>
  <c r="W8" i="11" a="1"/>
  <c r="W8" i="11" s="1"/>
  <c r="U8" i="11" a="1"/>
  <c r="U8" i="11" s="1"/>
  <c r="S8" i="11" a="1"/>
  <c r="S8" i="11" s="1"/>
  <c r="Q8" i="11" a="1"/>
  <c r="Q8" i="11" s="1"/>
  <c r="O8" i="11" a="1"/>
  <c r="O8" i="11" s="1"/>
  <c r="M8" i="11" a="1"/>
  <c r="M8" i="11" s="1"/>
  <c r="K8" i="11" a="1"/>
  <c r="K8" i="11" s="1"/>
  <c r="W7" i="11" a="1"/>
  <c r="W7" i="11" s="1"/>
  <c r="U7" i="11" a="1"/>
  <c r="U7" i="11" s="1"/>
  <c r="S7" i="11" a="1"/>
  <c r="S7" i="11" s="1"/>
  <c r="W6" i="11" a="1"/>
  <c r="W6" i="11" s="1"/>
  <c r="U6" i="11" a="1"/>
  <c r="U6" i="11" s="1"/>
  <c r="S6" i="11" a="1"/>
  <c r="S6" i="11" s="1"/>
  <c r="W5" i="11" a="1"/>
  <c r="W5" i="11" s="1"/>
  <c r="U5" i="11" a="1"/>
  <c r="U5" i="11" s="1"/>
  <c r="S5" i="11" a="1"/>
  <c r="S5" i="11" s="1"/>
  <c r="W4" i="11" a="1"/>
  <c r="W4" i="11" s="1"/>
  <c r="U4" i="11" a="1"/>
  <c r="U4" i="11" s="1"/>
  <c r="S4" i="11" a="1"/>
  <c r="S4" i="11" s="1"/>
  <c r="Q23" i="12" a="1"/>
  <c r="Q23" i="12" s="1"/>
  <c r="O23" i="12" a="1"/>
  <c r="O23" i="12" s="1"/>
  <c r="M23" i="12" a="1"/>
  <c r="M23" i="12" s="1"/>
  <c r="K23" i="12" a="1"/>
  <c r="K23" i="12" s="1"/>
  <c r="Q22" i="12" a="1"/>
  <c r="Q22" i="12" s="1"/>
  <c r="O22" i="12" a="1"/>
  <c r="O22" i="12" s="1"/>
  <c r="M22" i="12" a="1"/>
  <c r="M22" i="12" s="1"/>
  <c r="K22" i="12" a="1"/>
  <c r="K22" i="12" s="1"/>
  <c r="Q21" i="12" a="1"/>
  <c r="Q21" i="12" s="1"/>
  <c r="O21" i="12" a="1"/>
  <c r="O21" i="12" s="1"/>
  <c r="M21" i="12" a="1"/>
  <c r="M21" i="12" s="1"/>
  <c r="K21" i="12" a="1"/>
  <c r="K21" i="12" s="1"/>
  <c r="Q20" i="12" a="1"/>
  <c r="Q20" i="12" s="1"/>
  <c r="O20" i="12" a="1"/>
  <c r="O20" i="12" s="1"/>
  <c r="M20" i="12" a="1"/>
  <c r="M20" i="12" s="1"/>
  <c r="K20" i="12" a="1"/>
  <c r="K20" i="12" s="1"/>
  <c r="W19" i="12" a="1"/>
  <c r="W19" i="12" s="1"/>
  <c r="U19" i="12" a="1"/>
  <c r="U19" i="12" s="1"/>
  <c r="S19" i="12" a="1"/>
  <c r="S19" i="12" s="1"/>
  <c r="Q19" i="12" a="1"/>
  <c r="Q19" i="12" s="1"/>
  <c r="O19" i="12" a="1"/>
  <c r="O19" i="12" s="1"/>
  <c r="M19" i="12" a="1"/>
  <c r="M19" i="12" s="1"/>
  <c r="K19" i="12" a="1"/>
  <c r="K19" i="12" s="1"/>
  <c r="W18" i="12" a="1"/>
  <c r="W18" i="12" s="1"/>
  <c r="U18" i="12" a="1"/>
  <c r="U18" i="12" s="1"/>
  <c r="S18" i="12" a="1"/>
  <c r="S18" i="12" s="1"/>
  <c r="Q18" i="12" a="1"/>
  <c r="Q18" i="12" s="1"/>
  <c r="O18" i="12" a="1"/>
  <c r="O18" i="12" s="1"/>
  <c r="M18" i="12" a="1"/>
  <c r="M18" i="12" s="1"/>
  <c r="K18" i="12" a="1"/>
  <c r="K18" i="12" s="1"/>
  <c r="W17" i="12" a="1"/>
  <c r="W17" i="12" s="1"/>
  <c r="U17" i="12" a="1"/>
  <c r="U17" i="12" s="1"/>
  <c r="S17" i="12" a="1"/>
  <c r="S17" i="12" s="1"/>
  <c r="Q17" i="12" a="1"/>
  <c r="Q17" i="12" s="1"/>
  <c r="O17" i="12" a="1"/>
  <c r="O17" i="12" s="1"/>
  <c r="M17" i="12" a="1"/>
  <c r="M17" i="12" s="1"/>
  <c r="K17" i="12" a="1"/>
  <c r="K17" i="12" s="1"/>
  <c r="W16" i="12" a="1"/>
  <c r="W16" i="12" s="1"/>
  <c r="U16" i="12" a="1"/>
  <c r="U16" i="12" s="1"/>
  <c r="S16" i="12" a="1"/>
  <c r="S16" i="12" s="1"/>
  <c r="Q16" i="12" a="1"/>
  <c r="Q16" i="12" s="1"/>
  <c r="O16" i="12" a="1"/>
  <c r="O16" i="12" s="1"/>
  <c r="M16" i="12" a="1"/>
  <c r="M16" i="12" s="1"/>
  <c r="K16" i="12" a="1"/>
  <c r="K16" i="12" s="1"/>
  <c r="W15" i="12" a="1"/>
  <c r="W15" i="12" s="1"/>
  <c r="U15" i="12" a="1"/>
  <c r="U15" i="12" s="1"/>
  <c r="S15" i="12" a="1"/>
  <c r="S15" i="12" s="1"/>
  <c r="Q15" i="12" a="1"/>
  <c r="Q15" i="12" s="1"/>
  <c r="O15" i="12" a="1"/>
  <c r="O15" i="12" s="1"/>
  <c r="M15" i="12" a="1"/>
  <c r="M15" i="12" s="1"/>
  <c r="K15" i="12" a="1"/>
  <c r="K15" i="12" s="1"/>
  <c r="W14" i="12" a="1"/>
  <c r="W14" i="12" s="1"/>
  <c r="U14" i="12" a="1"/>
  <c r="U14" i="12" s="1"/>
  <c r="S14" i="12" a="1"/>
  <c r="S14" i="12" s="1"/>
  <c r="Q14" i="12" a="1"/>
  <c r="Q14" i="12" s="1"/>
  <c r="O14" i="12" a="1"/>
  <c r="O14" i="12" s="1"/>
  <c r="M14" i="12" a="1"/>
  <c r="M14" i="12" s="1"/>
  <c r="K14" i="12" a="1"/>
  <c r="K14" i="12" s="1"/>
  <c r="W13" i="12" a="1"/>
  <c r="W13" i="12" s="1"/>
  <c r="U13" i="12" a="1"/>
  <c r="U13" i="12" s="1"/>
  <c r="S13" i="12" a="1"/>
  <c r="S13" i="12" s="1"/>
  <c r="Q13" i="12" a="1"/>
  <c r="Q13" i="12" s="1"/>
  <c r="O13" i="12" a="1"/>
  <c r="O13" i="12" s="1"/>
  <c r="M13" i="12" a="1"/>
  <c r="M13" i="12" s="1"/>
  <c r="K13" i="12" a="1"/>
  <c r="K13" i="12" s="1"/>
  <c r="W12" i="12" a="1"/>
  <c r="W12" i="12" s="1"/>
  <c r="U12" i="12" a="1"/>
  <c r="U12" i="12" s="1"/>
  <c r="S12" i="12" a="1"/>
  <c r="S12" i="12" s="1"/>
  <c r="Q12" i="12" a="1"/>
  <c r="Q12" i="12" s="1"/>
  <c r="O12" i="12" a="1"/>
  <c r="O12" i="12" s="1"/>
  <c r="M12" i="12" a="1"/>
  <c r="M12" i="12" s="1"/>
  <c r="K12" i="12" a="1"/>
  <c r="K12" i="12" s="1"/>
  <c r="W11" i="12" a="1"/>
  <c r="W11" i="12" s="1"/>
  <c r="U11" i="12" a="1"/>
  <c r="U11" i="12" s="1"/>
  <c r="S11" i="12" a="1"/>
  <c r="S11" i="12" s="1"/>
  <c r="Q11" i="12" a="1"/>
  <c r="Q11" i="12" s="1"/>
  <c r="O11" i="12" a="1"/>
  <c r="O11" i="12" s="1"/>
  <c r="M11" i="12" a="1"/>
  <c r="M11" i="12" s="1"/>
  <c r="K11" i="12" a="1"/>
  <c r="K11" i="12" s="1"/>
  <c r="W10" i="12" a="1"/>
  <c r="W10" i="12" s="1"/>
  <c r="U10" i="12" a="1"/>
  <c r="U10" i="12" s="1"/>
  <c r="S10" i="12" a="1"/>
  <c r="S10" i="12" s="1"/>
  <c r="Q10" i="12" a="1"/>
  <c r="Q10" i="12" s="1"/>
  <c r="O10" i="12" a="1"/>
  <c r="O10" i="12" s="1"/>
  <c r="M10" i="12" a="1"/>
  <c r="M10" i="12" s="1"/>
  <c r="K10" i="12" a="1"/>
  <c r="K10" i="12" s="1"/>
  <c r="W9" i="12" a="1"/>
  <c r="W9" i="12" s="1"/>
  <c r="U9" i="12" a="1"/>
  <c r="U9" i="12" s="1"/>
  <c r="S9" i="12" a="1"/>
  <c r="S9" i="12" s="1"/>
  <c r="Q9" i="12" a="1"/>
  <c r="Q9" i="12" s="1"/>
  <c r="O9" i="12" a="1"/>
  <c r="O9" i="12" s="1"/>
  <c r="M9" i="12" a="1"/>
  <c r="M9" i="12" s="1"/>
  <c r="K9" i="12" a="1"/>
  <c r="K9" i="12" s="1"/>
  <c r="W8" i="12" a="1"/>
  <c r="W8" i="12" s="1"/>
  <c r="U8" i="12" a="1"/>
  <c r="U8" i="12" s="1"/>
  <c r="S8" i="12" a="1"/>
  <c r="S8" i="12" s="1"/>
  <c r="Q8" i="12" a="1"/>
  <c r="Q8" i="12" s="1"/>
  <c r="O8" i="12" a="1"/>
  <c r="O8" i="12" s="1"/>
  <c r="M8" i="12" a="1"/>
  <c r="M8" i="12" s="1"/>
  <c r="K8" i="12" a="1"/>
  <c r="K8" i="12" s="1"/>
  <c r="W7" i="12" a="1"/>
  <c r="W7" i="12" s="1"/>
  <c r="W6" i="12" a="1"/>
  <c r="W6" i="12" s="1"/>
  <c r="W5" i="12" a="1"/>
  <c r="W5" i="12" s="1"/>
  <c r="W4" i="12" a="1"/>
  <c r="W4" i="12" s="1"/>
  <c r="Q23" i="3" a="1"/>
  <c r="Q23" i="3" s="1"/>
  <c r="O23" i="3" a="1"/>
  <c r="O23" i="3" s="1"/>
  <c r="M23" i="3" a="1"/>
  <c r="M23" i="3" s="1"/>
  <c r="K23" i="3" a="1"/>
  <c r="K23" i="3" s="1"/>
  <c r="Q22" i="3" a="1"/>
  <c r="Q22" i="3" s="1"/>
  <c r="O22" i="3" a="1"/>
  <c r="O22" i="3" s="1"/>
  <c r="M22" i="3" a="1"/>
  <c r="M22" i="3" s="1"/>
  <c r="K22" i="3" a="1"/>
  <c r="K22" i="3" s="1"/>
  <c r="Q21" i="3" a="1"/>
  <c r="Q21" i="3" s="1"/>
  <c r="O21" i="3" a="1"/>
  <c r="O21" i="3" s="1"/>
  <c r="M21" i="3" a="1"/>
  <c r="M21" i="3" s="1"/>
  <c r="K21" i="3" a="1"/>
  <c r="K21" i="3" s="1"/>
  <c r="Q20" i="3" a="1"/>
  <c r="Q20" i="3" s="1"/>
  <c r="O20" i="3" a="1"/>
  <c r="O20" i="3" s="1"/>
  <c r="M20" i="3" a="1"/>
  <c r="M20" i="3" s="1"/>
  <c r="K20" i="3" a="1"/>
  <c r="K20" i="3" s="1"/>
  <c r="W19" i="3" a="1"/>
  <c r="W19" i="3" s="1"/>
  <c r="U19" i="3" a="1"/>
  <c r="U19" i="3" s="1"/>
  <c r="S19" i="3" a="1"/>
  <c r="S19" i="3" s="1"/>
  <c r="Q19" i="3" a="1"/>
  <c r="Q19" i="3" s="1"/>
  <c r="O19" i="3" a="1"/>
  <c r="O19" i="3" s="1"/>
  <c r="M19" i="3" a="1"/>
  <c r="M19" i="3" s="1"/>
  <c r="K19" i="3" a="1"/>
  <c r="K19" i="3" s="1"/>
  <c r="W18" i="3" a="1"/>
  <c r="W18" i="3" s="1"/>
  <c r="U18" i="3" a="1"/>
  <c r="U18" i="3" s="1"/>
  <c r="S18" i="3" a="1"/>
  <c r="S18" i="3" s="1"/>
  <c r="Q18" i="3" a="1"/>
  <c r="Q18" i="3" s="1"/>
  <c r="O18" i="3" a="1"/>
  <c r="O18" i="3" s="1"/>
  <c r="M18" i="3" a="1"/>
  <c r="M18" i="3" s="1"/>
  <c r="K18" i="3" a="1"/>
  <c r="K18" i="3" s="1"/>
  <c r="W17" i="3" a="1"/>
  <c r="W17" i="3" s="1"/>
  <c r="U17" i="3" a="1"/>
  <c r="U17" i="3" s="1"/>
  <c r="S17" i="3" a="1"/>
  <c r="S17" i="3" s="1"/>
  <c r="Q17" i="3" a="1"/>
  <c r="Q17" i="3" s="1"/>
  <c r="O17" i="3" a="1"/>
  <c r="O17" i="3" s="1"/>
  <c r="M17" i="3" a="1"/>
  <c r="M17" i="3" s="1"/>
  <c r="K17" i="3" a="1"/>
  <c r="K17" i="3" s="1"/>
  <c r="W16" i="3" a="1"/>
  <c r="W16" i="3" s="1"/>
  <c r="U16" i="3" a="1"/>
  <c r="U16" i="3" s="1"/>
  <c r="S16" i="3" a="1"/>
  <c r="S16" i="3" s="1"/>
  <c r="Q16" i="3" a="1"/>
  <c r="Q16" i="3" s="1"/>
  <c r="O16" i="3" a="1"/>
  <c r="O16" i="3" s="1"/>
  <c r="M16" i="3" a="1"/>
  <c r="M16" i="3" s="1"/>
  <c r="K16" i="3" a="1"/>
  <c r="K16" i="3" s="1"/>
  <c r="W15" i="3" a="1"/>
  <c r="W15" i="3" s="1"/>
  <c r="U15" i="3" a="1"/>
  <c r="U15" i="3" s="1"/>
  <c r="S15" i="3" a="1"/>
  <c r="S15" i="3" s="1"/>
  <c r="Q15" i="3" a="1"/>
  <c r="Q15" i="3" s="1"/>
  <c r="O15" i="3" a="1"/>
  <c r="O15" i="3" s="1"/>
  <c r="M15" i="3" a="1"/>
  <c r="M15" i="3" s="1"/>
  <c r="K15" i="3" a="1"/>
  <c r="K15" i="3" s="1"/>
  <c r="W14" i="3" a="1"/>
  <c r="W14" i="3" s="1"/>
  <c r="U14" i="3" a="1"/>
  <c r="U14" i="3" s="1"/>
  <c r="S14" i="3" a="1"/>
  <c r="S14" i="3" s="1"/>
  <c r="Q14" i="3" a="1"/>
  <c r="Q14" i="3" s="1"/>
  <c r="O14" i="3" a="1"/>
  <c r="O14" i="3" s="1"/>
  <c r="M14" i="3" a="1"/>
  <c r="M14" i="3" s="1"/>
  <c r="K14" i="3" a="1"/>
  <c r="K14" i="3" s="1"/>
  <c r="W13" i="3" a="1"/>
  <c r="W13" i="3" s="1"/>
  <c r="U13" i="3" a="1"/>
  <c r="U13" i="3" s="1"/>
  <c r="S13" i="3" a="1"/>
  <c r="S13" i="3" s="1"/>
  <c r="Q13" i="3" a="1"/>
  <c r="Q13" i="3" s="1"/>
  <c r="O13" i="3" a="1"/>
  <c r="O13" i="3" s="1"/>
  <c r="M13" i="3" a="1"/>
  <c r="M13" i="3" s="1"/>
  <c r="K13" i="3" a="1"/>
  <c r="K13" i="3" s="1"/>
  <c r="W12" i="3" a="1"/>
  <c r="W12" i="3" s="1"/>
  <c r="U12" i="3" a="1"/>
  <c r="U12" i="3" s="1"/>
  <c r="S12" i="3" a="1"/>
  <c r="S12" i="3" s="1"/>
  <c r="Q12" i="3" a="1"/>
  <c r="Q12" i="3" s="1"/>
  <c r="O12" i="3" a="1"/>
  <c r="O12" i="3" s="1"/>
  <c r="M12" i="3" a="1"/>
  <c r="M12" i="3" s="1"/>
  <c r="K12" i="3" a="1"/>
  <c r="K12" i="3" s="1"/>
  <c r="W11" i="3" a="1"/>
  <c r="W11" i="3" s="1"/>
  <c r="U11" i="3" a="1"/>
  <c r="U11" i="3" s="1"/>
  <c r="S11" i="3" a="1"/>
  <c r="S11" i="3" s="1"/>
  <c r="Q11" i="3" a="1"/>
  <c r="Q11" i="3" s="1"/>
  <c r="O11" i="3" a="1"/>
  <c r="O11" i="3" s="1"/>
  <c r="M11" i="3" a="1"/>
  <c r="M11" i="3" s="1"/>
  <c r="K11" i="3" a="1"/>
  <c r="K11" i="3" s="1"/>
  <c r="W10" i="3" a="1"/>
  <c r="W10" i="3" s="1"/>
  <c r="U10" i="3" a="1"/>
  <c r="U10" i="3" s="1"/>
  <c r="S10" i="3" a="1"/>
  <c r="S10" i="3" s="1"/>
  <c r="Q10" i="3" a="1"/>
  <c r="Q10" i="3" s="1"/>
  <c r="O10" i="3" a="1"/>
  <c r="O10" i="3" s="1"/>
  <c r="M10" i="3" a="1"/>
  <c r="M10" i="3" s="1"/>
  <c r="K10" i="3" a="1"/>
  <c r="K10" i="3" s="1"/>
  <c r="W9" i="3" a="1"/>
  <c r="W9" i="3" s="1"/>
  <c r="U9" i="3" a="1"/>
  <c r="U9" i="3" s="1"/>
  <c r="S9" i="3" a="1"/>
  <c r="S9" i="3" s="1"/>
  <c r="Q9" i="3" a="1"/>
  <c r="Q9" i="3" s="1"/>
  <c r="O9" i="3" a="1"/>
  <c r="O9" i="3" s="1"/>
  <c r="M9" i="3" a="1"/>
  <c r="M9" i="3" s="1"/>
  <c r="K9" i="3" a="1"/>
  <c r="K9" i="3" s="1"/>
  <c r="W8" i="3" a="1"/>
  <c r="W8" i="3" s="1"/>
  <c r="U8" i="3" a="1"/>
  <c r="U8" i="3" s="1"/>
  <c r="S8" i="3" a="1"/>
  <c r="S8" i="3" s="1"/>
  <c r="Q8" i="3" a="1"/>
  <c r="Q8" i="3" s="1"/>
  <c r="O8" i="3" a="1"/>
  <c r="O8" i="3" s="1"/>
  <c r="M8" i="3" a="1"/>
  <c r="M8" i="3" s="1"/>
  <c r="K8" i="3" a="1"/>
  <c r="K8" i="3" s="1"/>
  <c r="W7" i="3" a="1"/>
  <c r="W7" i="3" s="1"/>
  <c r="U7" i="3" a="1"/>
  <c r="U7" i="3" s="1"/>
  <c r="S7" i="3" a="1"/>
  <c r="S7" i="3" s="1"/>
  <c r="W6" i="3" a="1"/>
  <c r="W6" i="3" s="1"/>
  <c r="U6" i="3" a="1"/>
  <c r="U6" i="3" s="1"/>
  <c r="S6" i="3" a="1"/>
  <c r="S6" i="3" s="1"/>
  <c r="W5" i="3" a="1"/>
  <c r="W5" i="3" s="1"/>
  <c r="U5" i="3" a="1"/>
  <c r="U5" i="3" s="1"/>
  <c r="S5" i="3" a="1"/>
  <c r="S5" i="3" s="1"/>
  <c r="W4" i="3" a="1"/>
  <c r="W4" i="3" s="1"/>
  <c r="U4" i="3" a="1"/>
  <c r="U4" i="3" s="1"/>
  <c r="S4" i="3" a="1"/>
  <c r="S4" i="3" s="1"/>
  <c r="Q23" i="1" a="1"/>
  <c r="Q23" i="1" s="1"/>
  <c r="Q22" i="1" a="1"/>
  <c r="Q22" i="1" s="1"/>
  <c r="Q21" i="1" a="1"/>
  <c r="Q21" i="1" s="1"/>
  <c r="Q20" i="1" a="1"/>
  <c r="Q20" i="1" s="1"/>
  <c r="O23" i="1" a="1"/>
  <c r="O23" i="1" s="1"/>
  <c r="O22" i="1" a="1"/>
  <c r="O22" i="1" s="1"/>
  <c r="O21" i="1" a="1"/>
  <c r="O21" i="1" s="1"/>
  <c r="O20" i="1" a="1"/>
  <c r="O20" i="1" s="1"/>
  <c r="M23" i="1" a="1"/>
  <c r="M23" i="1" s="1"/>
  <c r="M22" i="1" a="1"/>
  <c r="M22" i="1" s="1"/>
  <c r="M21" i="1" a="1"/>
  <c r="M21" i="1" s="1"/>
  <c r="M20" i="1" a="1"/>
  <c r="M20" i="1" s="1"/>
  <c r="K23" i="1" a="1"/>
  <c r="K23" i="1" s="1"/>
  <c r="K22" i="1" a="1"/>
  <c r="K22" i="1" s="1"/>
  <c r="K21" i="1" a="1"/>
  <c r="K21" i="1" s="1"/>
  <c r="K20" i="1" a="1"/>
  <c r="K20" i="1" s="1"/>
  <c r="W19" i="1" a="1"/>
  <c r="W19" i="1" s="1"/>
  <c r="W18" i="1" a="1"/>
  <c r="W18" i="1" s="1"/>
  <c r="W17" i="1" a="1"/>
  <c r="W17" i="1" s="1"/>
  <c r="W16" i="1" a="1"/>
  <c r="W16" i="1" s="1"/>
  <c r="U19" i="1" a="1"/>
  <c r="U19" i="1" s="1"/>
  <c r="U18" i="1" a="1"/>
  <c r="U18" i="1" s="1"/>
  <c r="U17" i="1" a="1"/>
  <c r="U17" i="1" s="1"/>
  <c r="U16" i="1" a="1"/>
  <c r="U16" i="1" s="1"/>
  <c r="S19" i="1" a="1"/>
  <c r="S19" i="1" s="1"/>
  <c r="S18" i="1" a="1"/>
  <c r="S18" i="1" s="1"/>
  <c r="S17" i="1" a="1"/>
  <c r="S17" i="1" s="1"/>
  <c r="S16" i="1" a="1"/>
  <c r="S16" i="1" s="1"/>
  <c r="Q19" i="1" a="1"/>
  <c r="Q19" i="1" s="1"/>
  <c r="Q18" i="1" a="1"/>
  <c r="Q18" i="1" s="1"/>
  <c r="Q17" i="1" a="1"/>
  <c r="Q17" i="1" s="1"/>
  <c r="Q16" i="1" a="1"/>
  <c r="Q16" i="1" s="1"/>
  <c r="O19" i="1" a="1"/>
  <c r="O19" i="1" s="1"/>
  <c r="O18" i="1" a="1"/>
  <c r="O18" i="1" s="1"/>
  <c r="O17" i="1" a="1"/>
  <c r="O17" i="1" s="1"/>
  <c r="O16" i="1" a="1"/>
  <c r="O16" i="1" s="1"/>
  <c r="M19" i="1" a="1"/>
  <c r="M19" i="1" s="1"/>
  <c r="M18" i="1" a="1"/>
  <c r="M18" i="1" s="1"/>
  <c r="M17" i="1" a="1"/>
  <c r="M17" i="1" s="1"/>
  <c r="M16" i="1" a="1"/>
  <c r="M16" i="1" s="1"/>
  <c r="K17" i="1" a="1"/>
  <c r="K17" i="1" s="1"/>
  <c r="K18" i="1" a="1"/>
  <c r="K18" i="1" s="1"/>
  <c r="K19" i="1" a="1"/>
  <c r="K19" i="1" s="1"/>
  <c r="K16" i="1" a="1"/>
  <c r="K16" i="1" s="1"/>
  <c r="W15" i="1" a="1"/>
  <c r="W15" i="1" s="1"/>
  <c r="W14" i="1" a="1"/>
  <c r="W14" i="1" s="1"/>
  <c r="W13" i="1" a="1"/>
  <c r="W13" i="1" s="1"/>
  <c r="W12" i="1" a="1"/>
  <c r="W12" i="1" s="1"/>
  <c r="U15" i="1" a="1"/>
  <c r="U15" i="1" s="1"/>
  <c r="U14" i="1" a="1"/>
  <c r="U14" i="1" s="1"/>
  <c r="U13" i="1" a="1"/>
  <c r="U13" i="1" s="1"/>
  <c r="U12" i="1" a="1"/>
  <c r="U12" i="1" s="1"/>
  <c r="S15" i="1" a="1"/>
  <c r="S15" i="1" s="1"/>
  <c r="S14" i="1" a="1"/>
  <c r="S14" i="1" s="1"/>
  <c r="S13" i="1" a="1"/>
  <c r="S13" i="1" s="1"/>
  <c r="S12" i="1" a="1"/>
  <c r="S12" i="1" s="1"/>
  <c r="Q15" i="1" a="1"/>
  <c r="Q15" i="1" s="1"/>
  <c r="Q14" i="1" a="1"/>
  <c r="Q14" i="1" s="1"/>
  <c r="Q13" i="1" a="1"/>
  <c r="Q13" i="1" s="1"/>
  <c r="Q12" i="1" a="1"/>
  <c r="Q12" i="1" s="1"/>
  <c r="O15" i="1" a="1"/>
  <c r="O15" i="1" s="1"/>
  <c r="O14" i="1" a="1"/>
  <c r="O14" i="1" s="1"/>
  <c r="O13" i="1" a="1"/>
  <c r="O13" i="1" s="1"/>
  <c r="O12" i="1" a="1"/>
  <c r="O12" i="1" s="1"/>
  <c r="M15" i="1" a="1"/>
  <c r="M15" i="1" s="1"/>
  <c r="M14" i="1" a="1"/>
  <c r="M14" i="1" s="1"/>
  <c r="M13" i="1" a="1"/>
  <c r="M13" i="1" s="1"/>
  <c r="M12" i="1" a="1"/>
  <c r="M12" i="1" s="1"/>
  <c r="K15" i="1" a="1"/>
  <c r="K15" i="1" s="1"/>
  <c r="K14" i="1" a="1"/>
  <c r="K14" i="1" s="1"/>
  <c r="K13" i="1" a="1"/>
  <c r="K13" i="1" s="1"/>
  <c r="K12" i="1" a="1"/>
  <c r="K12" i="1" s="1"/>
  <c r="W11" i="1" a="1"/>
  <c r="W11" i="1" s="1"/>
  <c r="W10" i="1" a="1"/>
  <c r="W10" i="1" s="1"/>
  <c r="W9" i="1" a="1"/>
  <c r="W9" i="1" s="1"/>
  <c r="W8" i="1" a="1"/>
  <c r="W8" i="1" s="1"/>
  <c r="U11" i="1" a="1"/>
  <c r="U11" i="1" s="1"/>
  <c r="U10" i="1" a="1"/>
  <c r="U10" i="1" s="1"/>
  <c r="U9" i="1" a="1"/>
  <c r="U9" i="1" s="1"/>
  <c r="U8" i="1" a="1"/>
  <c r="U8" i="1" s="1"/>
  <c r="S11" i="1" a="1"/>
  <c r="S11" i="1" s="1"/>
  <c r="S10" i="1" a="1"/>
  <c r="S10" i="1" s="1"/>
  <c r="S9" i="1" a="1"/>
  <c r="S9" i="1" s="1"/>
  <c r="S8" i="1" a="1"/>
  <c r="S8" i="1" s="1"/>
  <c r="Q11" i="1" a="1"/>
  <c r="Q11" i="1" s="1"/>
  <c r="Q10" i="1" a="1"/>
  <c r="Q10" i="1" s="1"/>
  <c r="Q9" i="1" a="1"/>
  <c r="Q9" i="1" s="1"/>
  <c r="Q8" i="1" a="1"/>
  <c r="Q8" i="1" s="1"/>
  <c r="O11" i="1" a="1"/>
  <c r="O11" i="1" s="1"/>
  <c r="O10" i="1" a="1"/>
  <c r="O10" i="1" s="1"/>
  <c r="O9" i="1" a="1"/>
  <c r="O9" i="1" s="1"/>
  <c r="O8" i="1" a="1"/>
  <c r="O8" i="1" s="1"/>
  <c r="M11" i="1" a="1"/>
  <c r="M11" i="1" s="1"/>
  <c r="M10" i="1" a="1"/>
  <c r="M10" i="1" s="1"/>
  <c r="M9" i="1" a="1"/>
  <c r="M9" i="1" s="1"/>
  <c r="M8" i="1" a="1"/>
  <c r="M8" i="1" s="1"/>
  <c r="K9" i="1" a="1"/>
  <c r="K9" i="1" s="1"/>
  <c r="K10" i="1" a="1"/>
  <c r="K10" i="1" s="1"/>
  <c r="K11" i="1" a="1"/>
  <c r="K11" i="1" s="1"/>
  <c r="K8" i="1" a="1"/>
  <c r="K8" i="1" s="1"/>
  <c r="W7" i="1" a="1"/>
  <c r="W7" i="1" s="1"/>
  <c r="W6" i="1" a="1"/>
  <c r="W6" i="1" s="1"/>
  <c r="W5" i="1" a="1"/>
  <c r="W5" i="1" s="1"/>
  <c r="W4" i="1" a="1"/>
  <c r="W4" i="1" s="1"/>
  <c r="U7" i="1" a="1"/>
  <c r="U7" i="1" s="1"/>
  <c r="U6" i="1" a="1"/>
  <c r="U6" i="1" s="1"/>
  <c r="U5" i="1" a="1"/>
  <c r="U5" i="1" s="1"/>
  <c r="U4" i="1" a="1"/>
  <c r="U4" i="1" s="1"/>
  <c r="S7" i="1" a="1"/>
  <c r="S7" i="1" s="1"/>
  <c r="S6" i="1" a="1"/>
  <c r="S6" i="1" s="1"/>
  <c r="S5" i="1" a="1"/>
  <c r="S5" i="1" s="1"/>
  <c r="S4" i="1" a="1"/>
  <c r="S4" i="1" s="1"/>
  <c r="Q7" i="1" a="1"/>
  <c r="Q7" i="1" s="1"/>
  <c r="Q6" i="1" a="1"/>
  <c r="Q6" i="1" s="1"/>
  <c r="Q5" i="1" a="1"/>
  <c r="Q5" i="1" s="1"/>
  <c r="Q4" i="1" a="1"/>
  <c r="Q4" i="1" s="1"/>
  <c r="O7" i="1" a="1"/>
  <c r="O7" i="1" s="1"/>
  <c r="O6" i="1" a="1"/>
  <c r="O6" i="1" s="1"/>
  <c r="O4" i="1" a="1"/>
  <c r="O4" i="1" s="1"/>
  <c r="M7" i="1" a="1"/>
  <c r="M7" i="1" s="1"/>
  <c r="M6" i="1" a="1"/>
  <c r="M6" i="1" s="1"/>
  <c r="M5" i="1" a="1"/>
  <c r="M5" i="1" s="1"/>
  <c r="M4" i="1" a="1"/>
  <c r="M4" i="1" s="1"/>
  <c r="F150" i="14" l="1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F6" i="14"/>
  <c r="E6" i="14"/>
</calcChain>
</file>

<file path=xl/sharedStrings.xml><?xml version="1.0" encoding="utf-8"?>
<sst xmlns="http://schemas.openxmlformats.org/spreadsheetml/2006/main" count="419" uniqueCount="136">
  <si>
    <t>Domingo</t>
  </si>
  <si>
    <t>Segunda-feira</t>
  </si>
  <si>
    <t>Terça-feira</t>
  </si>
  <si>
    <t>Quinta-feira</t>
  </si>
  <si>
    <t>Sexta-feira</t>
  </si>
  <si>
    <t>Sábado</t>
  </si>
  <si>
    <t>Quarta-feira</t>
  </si>
  <si>
    <t>Atividades</t>
  </si>
  <si>
    <t>Dia</t>
  </si>
  <si>
    <t>Hora</t>
  </si>
  <si>
    <t>Tarefa</t>
  </si>
  <si>
    <t>Fevereiro →</t>
  </si>
  <si>
    <t>←  Janeiro</t>
  </si>
  <si>
    <t>Março   →</t>
  </si>
  <si>
    <t>Abril →</t>
  </si>
  <si>
    <t>←  Março</t>
  </si>
  <si>
    <t>Maio →</t>
  </si>
  <si>
    <t>Tiradentes</t>
  </si>
  <si>
    <t>←  Abril</t>
  </si>
  <si>
    <t>Junho  →</t>
  </si>
  <si>
    <t>Dia do trabalho</t>
  </si>
  <si>
    <t>←  Maio</t>
  </si>
  <si>
    <t>Julho  →</t>
  </si>
  <si>
    <t>Corpus Christi</t>
  </si>
  <si>
    <t>←  Junho</t>
  </si>
  <si>
    <t>Agosto  →</t>
  </si>
  <si>
    <t>←  Julho</t>
  </si>
  <si>
    <t>Setembro →</t>
  </si>
  <si>
    <t>←  Agosto</t>
  </si>
  <si>
    <t>Outubro  →</t>
  </si>
  <si>
    <t>Independência</t>
  </si>
  <si>
    <t>←  Setembro</t>
  </si>
  <si>
    <t>Novembro  →</t>
  </si>
  <si>
    <t>←  Outubro</t>
  </si>
  <si>
    <t>Dezembro  →</t>
  </si>
  <si>
    <t>←  Novembro</t>
  </si>
  <si>
    <t>Natal</t>
  </si>
  <si>
    <t>Fatura</t>
  </si>
  <si>
    <t>Vencimento</t>
  </si>
  <si>
    <t>Data atual</t>
  </si>
  <si>
    <t>Status</t>
  </si>
  <si>
    <t>Cartão de crédito</t>
  </si>
  <si>
    <t>Água</t>
  </si>
  <si>
    <t>Luz</t>
  </si>
  <si>
    <t>←  Fevereiro</t>
  </si>
  <si>
    <t>www.aprenderexcel.com.br</t>
  </si>
  <si>
    <t>Controle de vencimentos</t>
  </si>
  <si>
    <t>max@desenvolveweb.com.br</t>
  </si>
  <si>
    <t>Valor</t>
  </si>
  <si>
    <t>Pago?</t>
  </si>
  <si>
    <t>Dia efetivo do pagamento</t>
  </si>
  <si>
    <t>Não</t>
  </si>
  <si>
    <t>-</t>
  </si>
  <si>
    <t>Dia das Crianças</t>
  </si>
  <si>
    <t>&lt;</t>
  </si>
  <si>
    <t>Atenção:</t>
  </si>
  <si>
    <t>A planilha encontra-se bloqueada antes do primeiro acesso.</t>
  </si>
  <si>
    <t>?</t>
  </si>
  <si>
    <t>Janeiro de 2018</t>
  </si>
  <si>
    <t>Fevereiro de 2018</t>
  </si>
  <si>
    <t>Março de 2018</t>
  </si>
  <si>
    <t>Sexta-feira santa</t>
  </si>
  <si>
    <t>Abril de 2018</t>
  </si>
  <si>
    <t>Maio de 2018</t>
  </si>
  <si>
    <t>Junho de 2018</t>
  </si>
  <si>
    <t>Julho de 2018</t>
  </si>
  <si>
    <t>Dia das Mães</t>
  </si>
  <si>
    <t>Dia dos Pais</t>
  </si>
  <si>
    <t>Agosto de 2018</t>
  </si>
  <si>
    <t>Setembro de 2018</t>
  </si>
  <si>
    <t>Outubro de 2018</t>
  </si>
  <si>
    <t>Horário de Verão</t>
  </si>
  <si>
    <t>Dia de Finados</t>
  </si>
  <si>
    <t>Novembro de 2018</t>
  </si>
  <si>
    <t>Dezembro de 2018</t>
  </si>
  <si>
    <t>Tabela de Aniversários</t>
  </si>
  <si>
    <t>Nomes</t>
  </si>
  <si>
    <t>Aniversários</t>
  </si>
  <si>
    <t xml:space="preserve">Chegando?      </t>
  </si>
  <si>
    <t>Núria</t>
  </si>
  <si>
    <t>Felipe</t>
  </si>
  <si>
    <t>César</t>
  </si>
  <si>
    <t>Marta</t>
  </si>
  <si>
    <t>Maria</t>
  </si>
  <si>
    <t>Ciro</t>
  </si>
  <si>
    <t>Sônia</t>
  </si>
  <si>
    <t>Joana</t>
  </si>
  <si>
    <t>Adriano</t>
  </si>
  <si>
    <t>Henrique</t>
  </si>
  <si>
    <t>Padroeira do BR</t>
  </si>
  <si>
    <t>Proc. República</t>
  </si>
  <si>
    <t>Carnval</t>
  </si>
  <si>
    <t>Fim Hor. Verão</t>
  </si>
  <si>
    <t>Páscoa</t>
  </si>
  <si>
    <t xml:space="preserve">Clique em "habilitar conteúdo", "Habillitar edição" ou "Habilitar Macros" dependendo da sua versão. </t>
  </si>
  <si>
    <t>Os botões estão na parte superior da tela e após este processo a planilha estará liberada para uso</t>
  </si>
  <si>
    <t>Problemas com o desbloqueio? Clique aqui e veja como resolver</t>
  </si>
  <si>
    <t>Após habilitá-las o conteúdo será exibido na barra aqui embaixo</t>
  </si>
  <si>
    <t>Ano  Novo</t>
  </si>
  <si>
    <t>PC1 EMBARCADOS</t>
  </si>
  <si>
    <t>P1 FTRANS</t>
  </si>
  <si>
    <t>P1 EMBARCADOS</t>
  </si>
  <si>
    <t>P2 TCE3</t>
  </si>
  <si>
    <t>P2 FTRANS</t>
  </si>
  <si>
    <t>P1 EST</t>
  </si>
  <si>
    <t>PC2 EMBARCADOS</t>
  </si>
  <si>
    <t>P2 EMBARCADOS</t>
  </si>
  <si>
    <t>PC3 EMBARCADOS</t>
  </si>
  <si>
    <t>P3 TCE3</t>
  </si>
  <si>
    <t>P3 FTRANS</t>
  </si>
  <si>
    <t>P2 EST</t>
  </si>
  <si>
    <t>PC4 EMBARCADOS</t>
  </si>
  <si>
    <t>PF EMBARCADOS</t>
  </si>
  <si>
    <t>PRE-REL. PCE3</t>
  </si>
  <si>
    <t>CRONOGRAMA DO PROJETO</t>
  </si>
  <si>
    <t>Desenvol. Proj. PCE3</t>
  </si>
  <si>
    <t>Desenvol. Proj.  PCE3</t>
  </si>
  <si>
    <t>APRES. PROJ. PCE3</t>
  </si>
  <si>
    <t>REL. PCE3</t>
  </si>
  <si>
    <t>LAB. FTRANS</t>
  </si>
  <si>
    <t>P1 LAB FTRANS</t>
  </si>
  <si>
    <t>P1 TCE3</t>
  </si>
  <si>
    <t>START T1 (IA)</t>
  </si>
  <si>
    <t xml:space="preserve">PESQ. EXPER SINTA </t>
  </si>
  <si>
    <t>T1 (IA)</t>
  </si>
  <si>
    <t>F1 (IA)</t>
  </si>
  <si>
    <t>ENTREGA (IA)</t>
  </si>
  <si>
    <t>START T3 (IA)</t>
  </si>
  <si>
    <t>ENTREGA T3 (IA)</t>
  </si>
  <si>
    <t>BAIXAR SOFTWARE DE TCE3,IA E CORNOGRAMA</t>
  </si>
  <si>
    <t>CB E EX.EMBARCADOS</t>
  </si>
  <si>
    <t>Sem. Eng. Seg. Trab.</t>
  </si>
  <si>
    <t>P1 FSO</t>
  </si>
  <si>
    <t>T2 IA</t>
  </si>
  <si>
    <t>T2 (IA)</t>
  </si>
  <si>
    <t>F 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</si>
</sst>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R$&quot;\ * #,##0.00_-;\-&quot;R$&quot;\ * #,##0.00_-;_-&quot;R$&quot;\ * &quot;-&quot;??_-;_-@_-"/>
    <numFmt numFmtId="165" formatCode=";;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0"/>
      <name val="Arial"/>
      <family val="2"/>
    </font>
    <font>
      <sz val="8"/>
      <color theme="1"/>
      <name val="Arial Narrow"/>
      <family val="2"/>
    </font>
    <font>
      <b/>
      <sz val="11"/>
      <name val="Calibri"/>
      <family val="2"/>
      <scheme val="minor"/>
    </font>
    <font>
      <b/>
      <sz val="12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48"/>
      <color theme="0"/>
      <name val="Wingdings 3"/>
      <family val="1"/>
      <charset val="2"/>
    </font>
    <font>
      <b/>
      <sz val="4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</font>
    <font>
      <sz val="10"/>
      <name val="Arial"/>
    </font>
    <font>
      <sz val="36"/>
      <color theme="0"/>
      <name val="Wingdings 3"/>
      <family val="1"/>
      <charset val="2"/>
    </font>
    <font>
      <b/>
      <sz val="28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24744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31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499984740745262"/>
      </bottom>
      <diagonal/>
    </border>
    <border>
      <left/>
      <right/>
      <top style="thin">
        <color indexed="64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2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indexed="64"/>
      </left>
      <right/>
      <top style="thin">
        <color theme="2" tint="-0.499984740745262"/>
      </top>
      <bottom/>
      <diagonal/>
    </border>
    <border>
      <left style="thin">
        <color indexed="64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</borders>
  <cellStyleXfs count="13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7" fillId="0" borderId="0"/>
    <xf numFmtId="49" fontId="8" fillId="0" borderId="0" applyFill="0" applyBorder="0" applyProtection="0">
      <alignment horizontal="left" vertical="top" wrapText="1"/>
    </xf>
    <xf numFmtId="0" fontId="1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1" fillId="0" borderId="0"/>
  </cellStyleXfs>
  <cellXfs count="198">
    <xf numFmtId="0" fontId="0" fillId="0" borderId="0" xfId="0"/>
    <xf numFmtId="0" fontId="0" fillId="0" borderId="0" xfId="0" applyAlignment="1"/>
    <xf numFmtId="0" fontId="3" fillId="6" borderId="2" xfId="5" applyFont="1" applyBorder="1" applyAlignment="1">
      <alignment horizontal="center"/>
    </xf>
    <xf numFmtId="0" fontId="3" fillId="0" borderId="0" xfId="0" applyFont="1"/>
    <xf numFmtId="0" fontId="3" fillId="6" borderId="2" xfId="5" applyFont="1" applyBorder="1" applyAlignment="1">
      <alignment horizontal="center"/>
    </xf>
    <xf numFmtId="164" fontId="0" fillId="0" borderId="0" xfId="9" applyFont="1"/>
    <xf numFmtId="0" fontId="0" fillId="0" borderId="0" xfId="0" applyAlignment="1">
      <alignment horizontal="center"/>
    </xf>
    <xf numFmtId="0" fontId="2" fillId="9" borderId="22" xfId="1" applyFont="1" applyFill="1" applyBorder="1" applyAlignment="1">
      <alignment horizontal="center"/>
    </xf>
    <xf numFmtId="164" fontId="2" fillId="9" borderId="22" xfId="9" applyFont="1" applyFill="1" applyBorder="1" applyAlignment="1">
      <alignment horizontal="center"/>
    </xf>
    <xf numFmtId="0" fontId="2" fillId="9" borderId="22" xfId="2" applyFont="1" applyFill="1" applyBorder="1" applyProtection="1">
      <protection locked="0"/>
    </xf>
    <xf numFmtId="164" fontId="3" fillId="8" borderId="22" xfId="9" applyFont="1" applyFill="1" applyBorder="1" applyAlignment="1" applyProtection="1">
      <alignment horizontal="center"/>
      <protection locked="0"/>
    </xf>
    <xf numFmtId="14" fontId="3" fillId="8" borderId="22" xfId="4" applyNumberFormat="1" applyFont="1" applyFill="1" applyBorder="1" applyAlignment="1" applyProtection="1">
      <alignment horizontal="center"/>
      <protection locked="0"/>
    </xf>
    <xf numFmtId="14" fontId="3" fillId="8" borderId="22" xfId="4" applyNumberFormat="1" applyFont="1" applyFill="1" applyBorder="1" applyAlignment="1" applyProtection="1">
      <alignment horizontal="center"/>
    </xf>
    <xf numFmtId="0" fontId="3" fillId="0" borderId="22" xfId="0" applyFont="1" applyBorder="1" applyAlignment="1" applyProtection="1">
      <alignment horizontal="center"/>
    </xf>
    <xf numFmtId="0" fontId="0" fillId="0" borderId="22" xfId="0" applyBorder="1" applyAlignment="1" applyProtection="1">
      <alignment horizontal="center"/>
      <protection locked="0"/>
    </xf>
    <xf numFmtId="14" fontId="0" fillId="0" borderId="22" xfId="0" applyNumberFormat="1" applyBorder="1" applyAlignment="1" applyProtection="1">
      <alignment horizontal="center"/>
      <protection locked="0"/>
    </xf>
    <xf numFmtId="0" fontId="0" fillId="9" borderId="22" xfId="0" applyFill="1" applyBorder="1" applyProtection="1">
      <protection locked="0"/>
    </xf>
    <xf numFmtId="0" fontId="6" fillId="11" borderId="3" xfId="3" applyFont="1" applyFill="1" applyBorder="1" applyAlignment="1">
      <alignment horizontal="left"/>
    </xf>
    <xf numFmtId="0" fontId="5" fillId="11" borderId="3" xfId="3" applyFont="1" applyFill="1" applyBorder="1" applyAlignment="1">
      <alignment horizontal="center"/>
    </xf>
    <xf numFmtId="0" fontId="10" fillId="11" borderId="3" xfId="3" applyFont="1" applyFill="1" applyBorder="1" applyAlignment="1">
      <alignment horizontal="right"/>
    </xf>
    <xf numFmtId="0" fontId="0" fillId="12" borderId="0" xfId="0" applyFill="1"/>
    <xf numFmtId="0" fontId="0" fillId="12" borderId="0" xfId="0" applyFill="1" applyAlignment="1">
      <alignment horizontal="center"/>
    </xf>
    <xf numFmtId="16" fontId="0" fillId="0" borderId="0" xfId="0" applyNumberForma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8" fillId="13" borderId="25" xfId="0" applyNumberFormat="1" applyFont="1" applyFill="1" applyBorder="1" applyAlignment="1">
      <alignment horizontal="center" wrapText="1"/>
    </xf>
    <xf numFmtId="0" fontId="18" fillId="7" borderId="24" xfId="0" applyNumberFormat="1" applyFont="1" applyFill="1" applyBorder="1" applyAlignment="1">
      <alignment wrapText="1"/>
    </xf>
    <xf numFmtId="0" fontId="18" fillId="13" borderId="2" xfId="0" applyNumberFormat="1" applyFont="1" applyFill="1" applyBorder="1" applyAlignment="1">
      <alignment horizontal="center" wrapText="1"/>
    </xf>
    <xf numFmtId="0" fontId="18" fillId="7" borderId="2" xfId="0" applyNumberFormat="1" applyFont="1" applyFill="1" applyBorder="1" applyAlignment="1">
      <alignment wrapText="1"/>
    </xf>
    <xf numFmtId="0" fontId="18" fillId="15" borderId="2" xfId="0" applyNumberFormat="1" applyFont="1" applyFill="1" applyBorder="1" applyAlignment="1">
      <alignment horizontal="center" wrapText="1"/>
    </xf>
    <xf numFmtId="0" fontId="18" fillId="13" borderId="5" xfId="0" applyNumberFormat="1" applyFont="1" applyFill="1" applyBorder="1" applyAlignment="1">
      <alignment wrapText="1"/>
    </xf>
    <xf numFmtId="0" fontId="18" fillId="13" borderId="1" xfId="0" applyNumberFormat="1" applyFont="1" applyFill="1" applyBorder="1" applyAlignment="1">
      <alignment horizontal="center" wrapText="1"/>
    </xf>
    <xf numFmtId="0" fontId="18" fillId="13" borderId="7" xfId="0" applyNumberFormat="1" applyFont="1" applyFill="1" applyBorder="1" applyAlignment="1">
      <alignment wrapText="1"/>
    </xf>
    <xf numFmtId="0" fontId="18" fillId="13" borderId="0" xfId="0" applyNumberFormat="1" applyFont="1" applyFill="1" applyBorder="1" applyAlignment="1">
      <alignment wrapText="1"/>
    </xf>
    <xf numFmtId="0" fontId="18" fillId="15" borderId="0" xfId="0" applyNumberFormat="1" applyFont="1" applyFill="1" applyBorder="1" applyAlignment="1">
      <alignment wrapText="1"/>
    </xf>
    <xf numFmtId="0" fontId="18" fillId="15" borderId="1" xfId="0" applyNumberFormat="1" applyFont="1" applyFill="1" applyBorder="1" applyAlignment="1">
      <alignment horizontal="center" wrapText="1"/>
    </xf>
    <xf numFmtId="0" fontId="18" fillId="13" borderId="8" xfId="0" applyNumberFormat="1" applyFont="1" applyFill="1" applyBorder="1" applyAlignment="1">
      <alignment wrapText="1"/>
    </xf>
    <xf numFmtId="0" fontId="18" fillId="13" borderId="9" xfId="0" applyNumberFormat="1" applyFont="1" applyFill="1" applyBorder="1" applyAlignment="1">
      <alignment horizontal="center" wrapText="1"/>
    </xf>
    <xf numFmtId="0" fontId="18" fillId="13" borderId="3" xfId="0" applyNumberFormat="1" applyFont="1" applyFill="1" applyBorder="1" applyAlignment="1">
      <alignment wrapText="1"/>
    </xf>
    <xf numFmtId="0" fontId="18" fillId="15" borderId="3" xfId="0" applyNumberFormat="1" applyFont="1" applyFill="1" applyBorder="1" applyAlignment="1">
      <alignment wrapText="1"/>
    </xf>
    <xf numFmtId="0" fontId="18" fillId="15" borderId="9" xfId="0" applyNumberFormat="1" applyFont="1" applyFill="1" applyBorder="1" applyAlignment="1">
      <alignment horizontal="center" wrapText="1"/>
    </xf>
    <xf numFmtId="0" fontId="18" fillId="7" borderId="26" xfId="0" applyNumberFormat="1" applyFont="1" applyFill="1" applyBorder="1" applyAlignment="1">
      <alignment wrapText="1"/>
    </xf>
    <xf numFmtId="0" fontId="18" fillId="15" borderId="25" xfId="0" applyNumberFormat="1" applyFont="1" applyFill="1" applyBorder="1" applyAlignment="1">
      <alignment horizontal="center" wrapText="1"/>
    </xf>
    <xf numFmtId="0" fontId="18" fillId="7" borderId="0" xfId="0" applyNumberFormat="1" applyFont="1" applyFill="1" applyBorder="1" applyAlignment="1">
      <alignment wrapText="1"/>
    </xf>
    <xf numFmtId="0" fontId="18" fillId="15" borderId="5" xfId="0" applyNumberFormat="1" applyFont="1" applyFill="1" applyBorder="1" applyAlignment="1">
      <alignment wrapText="1"/>
    </xf>
    <xf numFmtId="0" fontId="18" fillId="13" borderId="4" xfId="0" applyNumberFormat="1" applyFont="1" applyFill="1" applyBorder="1" applyAlignment="1">
      <alignment wrapText="1"/>
    </xf>
    <xf numFmtId="0" fontId="18" fillId="15" borderId="7" xfId="0" applyNumberFormat="1" applyFont="1" applyFill="1" applyBorder="1" applyAlignment="1">
      <alignment wrapText="1"/>
    </xf>
    <xf numFmtId="0" fontId="18" fillId="15" borderId="8" xfId="0" applyNumberFormat="1" applyFont="1" applyFill="1" applyBorder="1" applyAlignment="1">
      <alignment wrapText="1"/>
    </xf>
    <xf numFmtId="0" fontId="18" fillId="15" borderId="0" xfId="0" applyNumberFormat="1" applyFont="1" applyFill="1" applyAlignment="1">
      <alignment wrapText="1"/>
    </xf>
    <xf numFmtId="0" fontId="18" fillId="7" borderId="27" xfId="0" applyNumberFormat="1" applyFont="1" applyFill="1" applyBorder="1" applyAlignment="1">
      <alignment wrapText="1"/>
    </xf>
    <xf numFmtId="0" fontId="18" fillId="7" borderId="24" xfId="0" quotePrefix="1" applyNumberFormat="1" applyFont="1" applyFill="1" applyBorder="1" applyAlignment="1">
      <alignment wrapText="1"/>
    </xf>
    <xf numFmtId="0" fontId="18" fillId="7" borderId="5" xfId="0" applyFont="1" applyFill="1" applyBorder="1" applyAlignment="1">
      <alignment wrapText="1"/>
    </xf>
    <xf numFmtId="0" fontId="18" fillId="14" borderId="2" xfId="0" applyNumberFormat="1" applyFont="1" applyFill="1" applyBorder="1" applyAlignment="1">
      <alignment horizontal="center" wrapText="1"/>
    </xf>
    <xf numFmtId="0" fontId="18" fillId="14" borderId="5" xfId="0" applyNumberFormat="1" applyFont="1" applyFill="1" applyBorder="1" applyAlignment="1">
      <alignment wrapText="1"/>
    </xf>
    <xf numFmtId="0" fontId="18" fillId="14" borderId="1" xfId="0" applyNumberFormat="1" applyFont="1" applyFill="1" applyBorder="1" applyAlignment="1">
      <alignment horizontal="center" wrapText="1"/>
    </xf>
    <xf numFmtId="0" fontId="18" fillId="14" borderId="7" xfId="0" applyNumberFormat="1" applyFont="1" applyFill="1" applyBorder="1" applyAlignment="1">
      <alignment wrapText="1"/>
    </xf>
    <xf numFmtId="0" fontId="18" fillId="14" borderId="8" xfId="0" applyNumberFormat="1" applyFont="1" applyFill="1" applyBorder="1" applyAlignment="1">
      <alignment wrapText="1"/>
    </xf>
    <xf numFmtId="0" fontId="18" fillId="14" borderId="9" xfId="0" applyNumberFormat="1" applyFont="1" applyFill="1" applyBorder="1" applyAlignment="1">
      <alignment horizontal="center" wrapText="1"/>
    </xf>
    <xf numFmtId="0" fontId="18" fillId="14" borderId="25" xfId="0" applyNumberFormat="1" applyFont="1" applyFill="1" applyBorder="1" applyAlignment="1">
      <alignment horizontal="center" wrapText="1"/>
    </xf>
    <xf numFmtId="0" fontId="18" fillId="14" borderId="0" xfId="0" applyNumberFormat="1" applyFont="1" applyFill="1" applyBorder="1" applyAlignment="1">
      <alignment wrapText="1"/>
    </xf>
    <xf numFmtId="0" fontId="18" fillId="14" borderId="3" xfId="0" applyNumberFormat="1" applyFont="1" applyFill="1" applyBorder="1" applyAlignment="1">
      <alignment wrapText="1"/>
    </xf>
    <xf numFmtId="0" fontId="18" fillId="14" borderId="0" xfId="0" applyNumberFormat="1" applyFont="1" applyFill="1" applyAlignment="1">
      <alignment wrapText="1"/>
    </xf>
    <xf numFmtId="0" fontId="18" fillId="14" borderId="4" xfId="0" applyNumberFormat="1" applyFont="1" applyFill="1" applyBorder="1" applyAlignment="1">
      <alignment wrapText="1"/>
    </xf>
    <xf numFmtId="0" fontId="18" fillId="15" borderId="4" xfId="0" applyNumberFormat="1" applyFont="1" applyFill="1" applyBorder="1" applyAlignment="1">
      <alignment wrapText="1"/>
    </xf>
    <xf numFmtId="0" fontId="18" fillId="13" borderId="7" xfId="0" applyFont="1" applyFill="1" applyBorder="1" applyAlignment="1">
      <alignment wrapText="1"/>
    </xf>
    <xf numFmtId="0" fontId="18" fillId="13" borderId="8" xfId="0" applyFont="1" applyFill="1" applyBorder="1" applyAlignment="1">
      <alignment wrapText="1"/>
    </xf>
    <xf numFmtId="0" fontId="0" fillId="16" borderId="0" xfId="0" applyFill="1"/>
    <xf numFmtId="0" fontId="3" fillId="16" borderId="0" xfId="0" applyFont="1" applyFill="1"/>
    <xf numFmtId="0" fontId="0" fillId="16" borderId="0" xfId="0" applyFill="1" applyBorder="1"/>
    <xf numFmtId="0" fontId="0" fillId="16" borderId="1" xfId="0" applyFill="1" applyBorder="1"/>
    <xf numFmtId="0" fontId="0" fillId="16" borderId="16" xfId="0" applyFill="1" applyBorder="1"/>
    <xf numFmtId="0" fontId="3" fillId="16" borderId="0" xfId="0" applyNumberFormat="1" applyFont="1" applyFill="1"/>
    <xf numFmtId="0" fontId="0" fillId="16" borderId="0" xfId="0" applyNumberFormat="1" applyFill="1" applyBorder="1"/>
    <xf numFmtId="0" fontId="0" fillId="16" borderId="0" xfId="0" applyNumberFormat="1" applyFill="1"/>
    <xf numFmtId="0" fontId="18" fillId="16" borderId="27" xfId="0" applyNumberFormat="1" applyFont="1" applyFill="1" applyBorder="1" applyAlignment="1">
      <alignment wrapText="1"/>
    </xf>
    <xf numFmtId="0" fontId="0" fillId="16" borderId="4" xfId="0" applyFill="1" applyBorder="1"/>
    <xf numFmtId="0" fontId="0" fillId="16" borderId="23" xfId="0" applyFill="1" applyBorder="1"/>
    <xf numFmtId="0" fontId="3" fillId="16" borderId="16" xfId="0" applyFont="1" applyFill="1" applyBorder="1"/>
    <xf numFmtId="0" fontId="3" fillId="16" borderId="1" xfId="0" applyFont="1" applyFill="1" applyBorder="1"/>
    <xf numFmtId="0" fontId="18" fillId="17" borderId="0" xfId="0" applyNumberFormat="1" applyFont="1" applyFill="1" applyBorder="1" applyAlignment="1">
      <alignment wrapText="1"/>
    </xf>
    <xf numFmtId="0" fontId="18" fillId="17" borderId="1" xfId="0" applyNumberFormat="1" applyFont="1" applyFill="1" applyBorder="1" applyAlignment="1">
      <alignment wrapText="1"/>
    </xf>
    <xf numFmtId="0" fontId="18" fillId="17" borderId="8" xfId="0" applyNumberFormat="1" applyFont="1" applyFill="1" applyBorder="1" applyAlignment="1">
      <alignment wrapText="1"/>
    </xf>
    <xf numFmtId="0" fontId="0" fillId="10" borderId="0" xfId="0" applyFill="1"/>
    <xf numFmtId="0" fontId="18" fillId="17" borderId="3" xfId="0" applyNumberFormat="1" applyFont="1" applyFill="1" applyBorder="1" applyAlignment="1">
      <alignment wrapText="1"/>
    </xf>
    <xf numFmtId="0" fontId="18" fillId="17" borderId="9" xfId="0" applyNumberFormat="1" applyFont="1" applyFill="1" applyBorder="1" applyAlignment="1">
      <alignment wrapText="1"/>
    </xf>
    <xf numFmtId="164" fontId="0" fillId="12" borderId="0" xfId="9" applyFont="1" applyFill="1"/>
    <xf numFmtId="0" fontId="12" fillId="12" borderId="0" xfId="8" applyFont="1" applyFill="1" applyAlignment="1">
      <alignment horizontal="center"/>
    </xf>
    <xf numFmtId="0" fontId="0" fillId="12" borderId="0" xfId="0" applyFill="1" applyAlignment="1">
      <alignment horizontal="right"/>
    </xf>
    <xf numFmtId="0" fontId="0" fillId="0" borderId="0" xfId="0" applyProtection="1">
      <protection locked="0"/>
    </xf>
    <xf numFmtId="16" fontId="0" fillId="0" borderId="0" xfId="0" applyNumberFormat="1" applyProtection="1">
      <protection locked="0"/>
    </xf>
    <xf numFmtId="0" fontId="18" fillId="13" borderId="5" xfId="0" applyFont="1" applyFill="1" applyBorder="1" applyAlignment="1">
      <alignment wrapText="1"/>
    </xf>
    <xf numFmtId="0" fontId="18" fillId="17" borderId="0" xfId="0" applyFont="1" applyFill="1" applyBorder="1" applyAlignment="1">
      <alignment wrapText="1"/>
    </xf>
    <xf numFmtId="49" fontId="18" fillId="17" borderId="0" xfId="0" applyNumberFormat="1" applyFont="1" applyFill="1" applyBorder="1" applyAlignment="1">
      <alignment wrapText="1"/>
    </xf>
    <xf numFmtId="0" fontId="18" fillId="17" borderId="7" xfId="0" applyFont="1" applyFill="1" applyBorder="1" applyAlignment="1">
      <alignment wrapText="1"/>
    </xf>
    <xf numFmtId="49" fontId="18" fillId="17" borderId="1" xfId="0" applyNumberFormat="1" applyFont="1" applyFill="1" applyBorder="1" applyAlignment="1">
      <alignment wrapText="1"/>
    </xf>
    <xf numFmtId="0" fontId="18" fillId="17" borderId="0" xfId="0" applyFont="1" applyFill="1"/>
    <xf numFmtId="0" fontId="18" fillId="17" borderId="6" xfId="0" applyFont="1" applyFill="1" applyBorder="1"/>
    <xf numFmtId="0" fontId="18" fillId="17" borderId="1" xfId="0" applyFont="1" applyFill="1" applyBorder="1"/>
    <xf numFmtId="0" fontId="18" fillId="17" borderId="8" xfId="0" applyFont="1" applyFill="1" applyBorder="1"/>
    <xf numFmtId="0" fontId="18" fillId="17" borderId="9" xfId="0" applyFont="1" applyFill="1" applyBorder="1"/>
    <xf numFmtId="0" fontId="18" fillId="17" borderId="6" xfId="0" applyNumberFormat="1" applyFont="1" applyFill="1" applyBorder="1" applyAlignment="1">
      <alignment wrapText="1"/>
    </xf>
    <xf numFmtId="0" fontId="18" fillId="17" borderId="4" xfId="0" applyNumberFormat="1" applyFont="1" applyFill="1" applyBorder="1" applyAlignment="1">
      <alignment wrapText="1"/>
    </xf>
    <xf numFmtId="0" fontId="18" fillId="17" borderId="7" xfId="0" applyNumberFormat="1" applyFont="1" applyFill="1" applyBorder="1" applyAlignment="1">
      <alignment wrapText="1"/>
    </xf>
    <xf numFmtId="0" fontId="3" fillId="7" borderId="10" xfId="0" applyFont="1" applyFill="1" applyBorder="1" applyAlignment="1" applyProtection="1">
      <alignment horizontal="center"/>
      <protection locked="0"/>
    </xf>
    <xf numFmtId="20" fontId="3" fillId="7" borderId="13" xfId="0" applyNumberFormat="1" applyFont="1" applyFill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0" fillId="0" borderId="10" xfId="0" applyBorder="1" applyProtection="1">
      <protection locked="0"/>
    </xf>
    <xf numFmtId="20" fontId="3" fillId="0" borderId="14" xfId="0" applyNumberFormat="1" applyFont="1" applyBorder="1" applyAlignment="1" applyProtection="1">
      <alignment horizontal="center"/>
      <protection locked="0"/>
    </xf>
    <xf numFmtId="0" fontId="3" fillId="7" borderId="33" xfId="0" applyFont="1" applyFill="1" applyBorder="1" applyAlignment="1" applyProtection="1">
      <alignment horizontal="center"/>
      <protection locked="0"/>
    </xf>
    <xf numFmtId="20" fontId="3" fillId="7" borderId="32" xfId="0" applyNumberFormat="1" applyFont="1" applyFill="1" applyBorder="1" applyAlignment="1" applyProtection="1">
      <alignment horizontal="center"/>
      <protection locked="0"/>
    </xf>
    <xf numFmtId="0" fontId="3" fillId="8" borderId="10" xfId="0" applyFont="1" applyFill="1" applyBorder="1" applyAlignment="1" applyProtection="1">
      <alignment horizontal="center"/>
      <protection locked="0"/>
    </xf>
    <xf numFmtId="20" fontId="3" fillId="8" borderId="13" xfId="0" applyNumberFormat="1" applyFont="1" applyFill="1" applyBorder="1" applyAlignment="1" applyProtection="1">
      <alignment horizontal="center"/>
      <protection locked="0"/>
    </xf>
    <xf numFmtId="0" fontId="3" fillId="7" borderId="17" xfId="0" applyFont="1" applyFill="1" applyBorder="1" applyAlignment="1" applyProtection="1">
      <alignment horizontal="center"/>
      <protection locked="0"/>
    </xf>
    <xf numFmtId="0" fontId="3" fillId="7" borderId="14" xfId="0" applyFont="1" applyFill="1" applyBorder="1" applyAlignment="1" applyProtection="1">
      <alignment horizontal="center"/>
      <protection locked="0"/>
    </xf>
    <xf numFmtId="0" fontId="3" fillId="7" borderId="13" xfId="0" applyFont="1" applyFill="1" applyBorder="1" applyAlignment="1" applyProtection="1">
      <alignment horizontal="center"/>
      <protection locked="0"/>
    </xf>
    <xf numFmtId="0" fontId="3" fillId="7" borderId="18" xfId="0" applyFont="1" applyFill="1" applyBorder="1" applyAlignment="1" applyProtection="1">
      <alignment horizontal="center"/>
      <protection locked="0"/>
    </xf>
    <xf numFmtId="0" fontId="3" fillId="7" borderId="15" xfId="0" applyFont="1" applyFill="1" applyBorder="1" applyAlignment="1" applyProtection="1">
      <alignment horizontal="center"/>
      <protection locked="0"/>
    </xf>
    <xf numFmtId="0" fontId="0" fillId="7" borderId="28" xfId="0" applyFill="1" applyBorder="1" applyProtection="1">
      <protection locked="0"/>
    </xf>
    <xf numFmtId="0" fontId="0" fillId="7" borderId="10" xfId="0" applyFill="1" applyBorder="1" applyProtection="1">
      <protection locked="0"/>
    </xf>
    <xf numFmtId="0" fontId="22" fillId="12" borderId="0" xfId="11" applyFill="1" applyProtection="1"/>
    <xf numFmtId="0" fontId="14" fillId="12" borderId="0" xfId="11" applyFont="1" applyFill="1" applyAlignment="1" applyProtection="1">
      <alignment horizontal="center"/>
    </xf>
    <xf numFmtId="0" fontId="1" fillId="12" borderId="0" xfId="12" applyFill="1" applyProtection="1"/>
    <xf numFmtId="0" fontId="22" fillId="12" borderId="0" xfId="11" applyFill="1" applyAlignment="1" applyProtection="1">
      <alignment horizontal="center"/>
    </xf>
    <xf numFmtId="0" fontId="15" fillId="12" borderId="0" xfId="11" applyFont="1" applyFill="1" applyAlignment="1" applyProtection="1">
      <alignment horizontal="center"/>
    </xf>
    <xf numFmtId="0" fontId="5" fillId="12" borderId="0" xfId="11" applyFont="1" applyFill="1" applyAlignment="1" applyProtection="1"/>
    <xf numFmtId="0" fontId="5" fillId="12" borderId="0" xfId="11" applyFont="1" applyFill="1" applyAlignment="1" applyProtection="1">
      <alignment horizontal="center"/>
    </xf>
    <xf numFmtId="0" fontId="16" fillId="12" borderId="0" xfId="11" applyFont="1" applyFill="1" applyAlignment="1" applyProtection="1">
      <alignment vertical="center"/>
    </xf>
    <xf numFmtId="0" fontId="4" fillId="12" borderId="0" xfId="11" applyFont="1" applyFill="1" applyProtection="1"/>
    <xf numFmtId="0" fontId="23" fillId="12" borderId="0" xfId="11" applyFont="1" applyFill="1" applyProtection="1"/>
    <xf numFmtId="0" fontId="18" fillId="19" borderId="1" xfId="0" applyNumberFormat="1" applyFont="1" applyFill="1" applyBorder="1" applyAlignment="1">
      <alignment horizontal="center" wrapText="1"/>
    </xf>
    <xf numFmtId="0" fontId="18" fillId="19" borderId="9" xfId="0" applyNumberFormat="1" applyFont="1" applyFill="1" applyBorder="1" applyAlignment="1">
      <alignment horizontal="center" wrapText="1"/>
    </xf>
    <xf numFmtId="165" fontId="0" fillId="16" borderId="0" xfId="0" applyNumberFormat="1" applyFill="1"/>
    <xf numFmtId="165" fontId="0" fillId="16" borderId="0" xfId="0" applyNumberFormat="1" applyFill="1" applyBorder="1"/>
    <xf numFmtId="0" fontId="0" fillId="16" borderId="0" xfId="0" applyFill="1" applyProtection="1"/>
    <xf numFmtId="0" fontId="12" fillId="11" borderId="3" xfId="8" applyFont="1" applyFill="1" applyBorder="1" applyAlignment="1" applyProtection="1">
      <alignment horizontal="center"/>
      <protection locked="0"/>
    </xf>
    <xf numFmtId="0" fontId="18" fillId="19" borderId="4" xfId="0" applyNumberFormat="1" applyFont="1" applyFill="1" applyBorder="1" applyAlignment="1">
      <alignment wrapText="1"/>
    </xf>
    <xf numFmtId="0" fontId="18" fillId="19" borderId="0" xfId="0" applyNumberFormat="1" applyFont="1" applyFill="1" applyBorder="1" applyAlignment="1">
      <alignment wrapText="1"/>
    </xf>
    <xf numFmtId="0" fontId="18" fillId="19" borderId="3" xfId="0" applyNumberFormat="1" applyFont="1" applyFill="1" applyBorder="1" applyAlignment="1">
      <alignment wrapText="1"/>
    </xf>
    <xf numFmtId="0" fontId="18" fillId="19" borderId="25" xfId="0" applyNumberFormat="1" applyFont="1" applyFill="1" applyBorder="1" applyAlignment="1">
      <alignment horizontal="center" wrapText="1"/>
    </xf>
    <xf numFmtId="20" fontId="3" fillId="0" borderId="13" xfId="0" applyNumberFormat="1" applyFont="1" applyBorder="1" applyAlignment="1" applyProtection="1">
      <alignment horizontal="center"/>
      <protection locked="0"/>
    </xf>
    <xf numFmtId="20" fontId="3" fillId="7" borderId="14" xfId="0" applyNumberFormat="1" applyFont="1" applyFill="1" applyBorder="1" applyAlignment="1" applyProtection="1">
      <alignment horizontal="center"/>
      <protection locked="0"/>
    </xf>
    <xf numFmtId="0" fontId="18" fillId="19" borderId="5" xfId="0" applyNumberFormat="1" applyFont="1" applyFill="1" applyBorder="1" applyAlignment="1">
      <alignment wrapText="1"/>
    </xf>
    <xf numFmtId="0" fontId="15" fillId="12" borderId="0" xfId="11" applyFont="1" applyFill="1" applyAlignment="1" applyProtection="1">
      <alignment horizontal="center"/>
    </xf>
    <xf numFmtId="0" fontId="5" fillId="12" borderId="0" xfId="11" applyFont="1" applyFill="1" applyAlignment="1" applyProtection="1">
      <alignment horizontal="center"/>
    </xf>
    <xf numFmtId="0" fontId="5" fillId="12" borderId="0" xfId="11" applyFont="1" applyFill="1" applyAlignment="1" applyProtection="1">
      <alignment horizontal="left"/>
    </xf>
    <xf numFmtId="0" fontId="24" fillId="12" borderId="0" xfId="11" applyFont="1" applyFill="1" applyAlignment="1" applyProtection="1">
      <alignment horizontal="left"/>
    </xf>
    <xf numFmtId="0" fontId="9" fillId="7" borderId="11" xfId="0" applyFont="1" applyFill="1" applyBorder="1" applyAlignment="1" applyProtection="1">
      <alignment horizontal="left"/>
      <protection locked="0"/>
    </xf>
    <xf numFmtId="0" fontId="9" fillId="7" borderId="12" xfId="0" applyFont="1" applyFill="1" applyBorder="1" applyAlignment="1" applyProtection="1">
      <alignment horizontal="left"/>
      <protection locked="0"/>
    </xf>
    <xf numFmtId="0" fontId="9" fillId="7" borderId="13" xfId="0" applyFont="1" applyFill="1" applyBorder="1" applyAlignment="1" applyProtection="1">
      <alignment horizontal="left"/>
      <protection locked="0"/>
    </xf>
    <xf numFmtId="0" fontId="3" fillId="6" borderId="0" xfId="5" applyFont="1" applyBorder="1" applyAlignment="1">
      <alignment horizontal="center"/>
    </xf>
    <xf numFmtId="0" fontId="3" fillId="6" borderId="1" xfId="5" applyFont="1" applyBorder="1" applyAlignment="1">
      <alignment horizontal="center"/>
    </xf>
    <xf numFmtId="0" fontId="2" fillId="11" borderId="3" xfId="3" applyFont="1" applyFill="1" applyBorder="1" applyAlignment="1">
      <alignment horizontal="center"/>
    </xf>
    <xf numFmtId="0" fontId="3" fillId="6" borderId="19" xfId="5" applyFont="1" applyBorder="1" applyAlignment="1">
      <alignment horizontal="center"/>
    </xf>
    <xf numFmtId="0" fontId="3" fillId="6" borderId="20" xfId="5" applyFont="1" applyBorder="1" applyAlignment="1">
      <alignment horizontal="center"/>
    </xf>
    <xf numFmtId="0" fontId="3" fillId="6" borderId="21" xfId="5" applyFont="1" applyBorder="1" applyAlignment="1">
      <alignment horizontal="center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5" fillId="11" borderId="3" xfId="3" applyFont="1" applyFill="1" applyBorder="1" applyAlignment="1">
      <alignment horizontal="center"/>
    </xf>
    <xf numFmtId="0" fontId="10" fillId="11" borderId="3" xfId="3" applyFont="1" applyFill="1" applyBorder="1" applyAlignment="1">
      <alignment horizontal="left"/>
    </xf>
    <xf numFmtId="0" fontId="3" fillId="6" borderId="8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18" fillId="17" borderId="0" xfId="0" applyNumberFormat="1" applyFont="1" applyFill="1" applyBorder="1" applyAlignment="1">
      <alignment horizontal="center" wrapText="1"/>
    </xf>
    <xf numFmtId="0" fontId="18" fillId="17" borderId="1" xfId="0" applyNumberFormat="1" applyFont="1" applyFill="1" applyBorder="1" applyAlignment="1">
      <alignment horizontal="center" wrapText="1"/>
    </xf>
    <xf numFmtId="0" fontId="18" fillId="17" borderId="7" xfId="0" applyNumberFormat="1" applyFont="1" applyFill="1" applyBorder="1" applyAlignment="1">
      <alignment horizontal="center" wrapText="1"/>
    </xf>
    <xf numFmtId="0" fontId="18" fillId="17" borderId="8" xfId="0" applyNumberFormat="1" applyFont="1" applyFill="1" applyBorder="1" applyAlignment="1">
      <alignment horizontal="center" wrapText="1"/>
    </xf>
    <xf numFmtId="0" fontId="18" fillId="17" borderId="9" xfId="0" applyNumberFormat="1" applyFont="1" applyFill="1" applyBorder="1" applyAlignment="1">
      <alignment horizontal="center" wrapText="1"/>
    </xf>
    <xf numFmtId="0" fontId="3" fillId="6" borderId="7" xfId="5" applyFont="1" applyBorder="1" applyAlignment="1">
      <alignment horizontal="center"/>
    </xf>
    <xf numFmtId="0" fontId="2" fillId="11" borderId="0" xfId="3" applyFont="1" applyFill="1" applyAlignment="1">
      <alignment horizontal="center"/>
    </xf>
    <xf numFmtId="0" fontId="3" fillId="6" borderId="2" xfId="5" applyFont="1" applyBorder="1" applyAlignment="1">
      <alignment horizontal="center"/>
    </xf>
    <xf numFmtId="0" fontId="12" fillId="11" borderId="3" xfId="8" applyFont="1" applyFill="1" applyBorder="1" applyAlignment="1" applyProtection="1">
      <alignment horizontal="left"/>
      <protection locked="0"/>
    </xf>
    <xf numFmtId="0" fontId="0" fillId="7" borderId="11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9" fillId="8" borderId="11" xfId="0" applyFont="1" applyFill="1" applyBorder="1" applyAlignment="1" applyProtection="1">
      <alignment horizontal="left"/>
      <protection locked="0"/>
    </xf>
    <xf numFmtId="0" fontId="9" fillId="8" borderId="12" xfId="0" applyFont="1" applyFill="1" applyBorder="1" applyAlignment="1" applyProtection="1">
      <alignment horizontal="left"/>
      <protection locked="0"/>
    </xf>
    <xf numFmtId="0" fontId="9" fillId="8" borderId="13" xfId="0" applyFont="1" applyFill="1" applyBorder="1" applyAlignment="1" applyProtection="1">
      <alignment horizontal="left"/>
      <protection locked="0"/>
    </xf>
    <xf numFmtId="0" fontId="5" fillId="11" borderId="0" xfId="3" applyFont="1" applyFill="1" applyBorder="1" applyAlignment="1">
      <alignment horizontal="center"/>
    </xf>
    <xf numFmtId="0" fontId="3" fillId="6" borderId="28" xfId="5" applyFont="1" applyBorder="1" applyAlignment="1">
      <alignment horizontal="center"/>
    </xf>
    <xf numFmtId="0" fontId="3" fillId="6" borderId="29" xfId="5" applyFont="1" applyBorder="1" applyAlignment="1">
      <alignment horizontal="center"/>
    </xf>
    <xf numFmtId="0" fontId="3" fillId="6" borderId="31" xfId="5" applyFont="1" applyBorder="1" applyAlignment="1">
      <alignment horizontal="center"/>
    </xf>
    <xf numFmtId="0" fontId="3" fillId="6" borderId="30" xfId="5" applyFont="1" applyBorder="1" applyAlignment="1">
      <alignment horizontal="center"/>
    </xf>
    <xf numFmtId="0" fontId="18" fillId="17" borderId="8" xfId="0" applyFont="1" applyFill="1" applyBorder="1" applyAlignment="1">
      <alignment horizontal="center" wrapText="1"/>
    </xf>
    <xf numFmtId="0" fontId="18" fillId="17" borderId="9" xfId="0" applyFont="1" applyFill="1" applyBorder="1" applyAlignment="1">
      <alignment horizontal="center" wrapText="1"/>
    </xf>
    <xf numFmtId="0" fontId="18" fillId="17" borderId="7" xfId="0" applyFont="1" applyFill="1" applyBorder="1" applyAlignment="1">
      <alignment horizontal="center" wrapText="1"/>
    </xf>
    <xf numFmtId="0" fontId="18" fillId="17" borderId="1" xfId="0" applyFont="1" applyFill="1" applyBorder="1" applyAlignment="1">
      <alignment horizontal="center" wrapText="1"/>
    </xf>
    <xf numFmtId="0" fontId="18" fillId="17" borderId="0" xfId="0" applyFont="1" applyFill="1" applyBorder="1" applyAlignment="1">
      <alignment horizontal="center" wrapText="1"/>
    </xf>
    <xf numFmtId="0" fontId="18" fillId="17" borderId="3" xfId="0" applyFont="1" applyFill="1" applyBorder="1" applyAlignment="1">
      <alignment horizontal="center" wrapText="1"/>
    </xf>
    <xf numFmtId="0" fontId="13" fillId="9" borderId="0" xfId="1" applyFont="1" applyFill="1" applyAlignment="1">
      <alignment horizontal="center" vertical="center"/>
    </xf>
    <xf numFmtId="0" fontId="19" fillId="18" borderId="0" xfId="0" applyFont="1" applyFill="1" applyAlignment="1">
      <alignment horizontal="center"/>
    </xf>
    <xf numFmtId="0" fontId="20" fillId="18" borderId="0" xfId="0" applyFont="1" applyFill="1" applyAlignment="1">
      <alignment horizontal="center"/>
    </xf>
    <xf numFmtId="0" fontId="21" fillId="12" borderId="0" xfId="10" applyFont="1" applyFill="1" applyAlignment="1" applyProtection="1">
      <alignment horizontal="center"/>
    </xf>
  </cellXfs>
  <cellStyles count="13">
    <cellStyle name="20% - Ênfase5" xfId="4" builtinId="46"/>
    <cellStyle name="40% - Ênfase5" xfId="5" builtinId="47"/>
    <cellStyle name="Ênfase1" xfId="1" builtinId="29"/>
    <cellStyle name="Ênfase3" xfId="2" builtinId="37"/>
    <cellStyle name="Ênfase5" xfId="3" builtinId="45"/>
    <cellStyle name="Hiperlink" xfId="8" builtinId="8"/>
    <cellStyle name="Hiperlink 2" xfId="10"/>
    <cellStyle name="Moeda" xfId="9" builtinId="4"/>
    <cellStyle name="Normal" xfId="0" builtinId="0"/>
    <cellStyle name="Normal 2" xfId="6"/>
    <cellStyle name="Normal 2 2" xfId="12"/>
    <cellStyle name="Normal 3" xfId="11"/>
    <cellStyle name="WinCalendar_BlankDates_9" xfId="7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Courier New"/>
        <scheme val="none"/>
      </font>
      <numFmt numFmtId="0" formatCode="General"/>
      <alignment horizontal="center" vertical="bottom" textRotation="0" wrapText="0" indent="0" justifyLastLine="0" shrinkToFit="0" readingOrder="0"/>
    </dxf>
    <dxf>
      <numFmt numFmtId="21" formatCode="dd/mmm"/>
      <protection locked="0" hidden="0"/>
    </dxf>
    <dxf>
      <protection locked="0" hidden="0"/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theme="0"/>
          <bgColor rgb="FFFF0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24744D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hyperlink" Target="http://www.aprenderexcel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hyperlink" Target="http://www.aprenderexcel.com.br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161925</xdr:colOff>
      <xdr:row>0</xdr:row>
      <xdr:rowOff>47626</xdr:rowOff>
    </xdr:from>
    <xdr:to>
      <xdr:col>14</xdr:col>
      <xdr:colOff>2400299</xdr:colOff>
      <xdr:row>5</xdr:row>
      <xdr:rowOff>482273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74B72C0-D543-445B-8935-A8D9FDEE12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8"/>
        <a:stretch/>
      </xdr:blipFill>
      <xdr:spPr>
        <a:xfrm>
          <a:off x="6848475" y="47626"/>
          <a:ext cx="4038599" cy="1949122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152402</xdr:rowOff>
    </xdr:from>
    <xdr:to>
      <xdr:col>14</xdr:col>
      <xdr:colOff>2400299</xdr:colOff>
      <xdr:row>5</xdr:row>
      <xdr:rowOff>323851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AD5EAB5-019E-4273-B819-CA144E341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8"/>
        <a:stretch/>
      </xdr:blipFill>
      <xdr:spPr>
        <a:xfrm>
          <a:off x="6848475" y="152402"/>
          <a:ext cx="4038599" cy="16859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468193</xdr:colOff>
      <xdr:row>3</xdr:row>
      <xdr:rowOff>171449</xdr:rowOff>
    </xdr:from>
    <xdr:to>
      <xdr:col>10</xdr:col>
      <xdr:colOff>314912</xdr:colOff>
      <xdr:row>26</xdr:row>
      <xdr:rowOff>161924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1743" y="761999"/>
          <a:ext cx="2542294" cy="43719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600075</xdr:colOff>
      <xdr:row>2</xdr:row>
      <xdr:rowOff>161925</xdr:rowOff>
    </xdr:from>
    <xdr:to>
      <xdr:col>9</xdr:col>
      <xdr:colOff>276225</xdr:colOff>
      <xdr:row>14</xdr:row>
      <xdr:rowOff>152400</xdr:rowOff>
    </xdr:to>
    <xdr:pic>
      <xdr:nvPicPr>
        <xdr:cNvPr id="2" name="Picture 4" descr="C:\Users\LENOVO\AppData\Local\Microsoft\Windows\Temporary Internet Files\Content.IE5\8FRSYMBP\MC900250800[1].wmf">
          <a:extLst>
            <a:ext uri="{FF2B5EF4-FFF2-40B4-BE49-F238E27FC236}">
              <a16:creationId xmlns:a16="http://schemas.microsoft.com/office/drawing/2014/main" xmlns="" id="{AD698B7A-DD5B-4E88-A6C3-7D177ECC3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133850" y="552450"/>
          <a:ext cx="2724150" cy="2276475"/>
        </a:xfrm>
        <a:prstGeom prst="rect">
          <a:avLst/>
        </a:prstGeom>
        <a:noFill/>
      </xdr:spPr>
    </xdr:pic>
    <xdr:clientData/>
  </xdr:twoCellAnchor>
</xdr:wsDr>
</file>

<file path=xl/tables/table1.xml><?xml version="1.0" encoding="utf-8"?>
<table xmlns="http://schemas.openxmlformats.org/spreadsheetml/2006/main" id="1" name="Tabela2" displayName="Tabela2" ref="B4:D29" totalsRowShown="0">
  <tableColumns count="3">
    <tableColumn id="1" name="Nomes" dataDxfId="2"/>
    <tableColumn id="2" name="Aniversários" dataDxfId="1"/>
    <tableColumn id="3" name="Chegando?      " dataDxfId="0">
      <calculatedColumnFormula>IF(C5="","",IF(C5=TODAY(),"É hoje!!",IF(AND(NOW()-DATE(YEAR(NOW()),MONTH(C5),DAY(C5))&gt;=-7,NOW()-DATE(YEAR(NOW()),MONTH(C5),DAY(C5))&lt;1),"tá chegando!",IF(AND(NOW()-DATE(YEAR(NOW()),MONTH(C5),DAY(C5))&lt;=7,NOW()-DATE(YEAR(NOW()),MONTH(C5),DAY(C5))&gt;1),"Passou!","Longe ainda"))))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renderexcel.com.br/2015/tutoriais/problemas-com-os-downloads-do-sit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max@desenvolveweb.com.br" TargetMode="External"/><Relationship Id="rId1" Type="http://schemas.openxmlformats.org/officeDocument/2006/relationships/hyperlink" Target="http://www.aprenderexcel.com.br/" TargetMode="External"/><Relationship Id="rId4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hyperlink" Target="http://www.aprenderexcel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V21"/>
  <sheetViews>
    <sheetView topLeftCell="A5" workbookViewId="0">
      <selection activeCell="L23" sqref="L23"/>
    </sheetView>
  </sheetViews>
  <sheetFormatPr defaultColWidth="9" defaultRowHeight="15" x14ac:dyDescent="0.25"/>
  <cols>
    <col min="1" max="1" width="10.28515625" style="127" customWidth="1"/>
    <col min="2" max="14" width="9" style="127"/>
    <col min="15" max="15" width="51.7109375" style="127" customWidth="1"/>
    <col min="16" max="16384" width="9" style="127"/>
  </cols>
  <sheetData>
    <row r="1" spans="1:22" ht="59.25" x14ac:dyDescent="0.75">
      <c r="A1" s="125"/>
      <c r="B1" s="125"/>
      <c r="C1" s="125"/>
      <c r="D1" s="125"/>
      <c r="E1" s="125"/>
      <c r="F1" s="126" t="s">
        <v>54</v>
      </c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</row>
    <row r="2" spans="1:22" x14ac:dyDescent="0.2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</row>
    <row r="3" spans="1:22" x14ac:dyDescent="0.25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</row>
    <row r="4" spans="1:22" x14ac:dyDescent="0.25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</row>
    <row r="5" spans="1:22" x14ac:dyDescent="0.25">
      <c r="A5" s="125"/>
      <c r="B5" s="125"/>
      <c r="C5" s="125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5"/>
      <c r="R5" s="125"/>
      <c r="S5" s="125"/>
    </row>
    <row r="6" spans="1:22" ht="61.5" x14ac:dyDescent="0.9">
      <c r="A6" s="125"/>
      <c r="B6" s="125"/>
      <c r="C6" s="125"/>
      <c r="D6" s="128"/>
      <c r="E6" s="148" t="s">
        <v>55</v>
      </c>
      <c r="F6" s="148"/>
      <c r="G6" s="148"/>
      <c r="H6" s="148"/>
      <c r="I6" s="148"/>
      <c r="J6" s="148"/>
      <c r="K6" s="148"/>
      <c r="L6" s="148"/>
      <c r="M6" s="148"/>
      <c r="N6" s="148"/>
      <c r="O6" s="128"/>
      <c r="P6" s="128"/>
      <c r="Q6" s="125"/>
      <c r="R6" s="125"/>
      <c r="S6" s="125"/>
    </row>
    <row r="7" spans="1:22" ht="9.75" customHeight="1" x14ac:dyDescent="0.9">
      <c r="A7" s="125"/>
      <c r="B7" s="125"/>
      <c r="C7" s="125"/>
      <c r="D7" s="128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8"/>
      <c r="P7" s="128"/>
      <c r="Q7" s="125"/>
      <c r="R7" s="125"/>
      <c r="S7" s="125"/>
    </row>
    <row r="8" spans="1:22" ht="18.75" x14ac:dyDescent="0.3">
      <c r="A8" s="125"/>
      <c r="B8" s="125"/>
      <c r="C8" s="125"/>
      <c r="D8" s="128"/>
      <c r="E8" s="149" t="s">
        <v>56</v>
      </c>
      <c r="F8" s="149"/>
      <c r="G8" s="149"/>
      <c r="H8" s="149"/>
      <c r="I8" s="149"/>
      <c r="J8" s="149"/>
      <c r="K8" s="149"/>
      <c r="L8" s="149"/>
      <c r="M8" s="149"/>
      <c r="N8" s="149"/>
      <c r="O8" s="128"/>
      <c r="P8" s="128"/>
      <c r="Q8" s="125"/>
      <c r="R8" s="125"/>
      <c r="S8" s="125"/>
    </row>
    <row r="9" spans="1:22" ht="18.75" x14ac:dyDescent="0.3">
      <c r="A9" s="125"/>
      <c r="B9" s="125"/>
      <c r="C9" s="125"/>
      <c r="D9" s="130" t="s">
        <v>94</v>
      </c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28"/>
      <c r="Q9" s="125"/>
      <c r="R9" s="125"/>
      <c r="S9" s="125"/>
    </row>
    <row r="10" spans="1:22" ht="18.75" x14ac:dyDescent="0.3">
      <c r="A10" s="125"/>
      <c r="B10" s="125"/>
      <c r="C10" s="125"/>
      <c r="D10" s="150" t="s">
        <v>95</v>
      </c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25"/>
      <c r="S10" s="125"/>
    </row>
    <row r="11" spans="1:22" ht="18.75" x14ac:dyDescent="0.3">
      <c r="A11" s="125"/>
      <c r="B11" s="125"/>
      <c r="C11" s="125"/>
      <c r="D11" s="128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28"/>
      <c r="P11" s="128"/>
      <c r="Q11" s="125"/>
      <c r="R11" s="125"/>
      <c r="S11" s="125"/>
    </row>
    <row r="12" spans="1:22" ht="36" x14ac:dyDescent="0.55000000000000004">
      <c r="A12" s="125"/>
      <c r="B12" s="128"/>
      <c r="C12" s="131"/>
      <c r="D12" s="151" t="s">
        <v>96</v>
      </c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25"/>
      <c r="Q12" s="125"/>
    </row>
    <row r="13" spans="1:22" x14ac:dyDescent="0.25">
      <c r="A13" s="125"/>
      <c r="B13" s="125"/>
      <c r="C13" s="125"/>
      <c r="D13" s="128"/>
      <c r="E13" s="128"/>
      <c r="F13" s="128"/>
      <c r="G13" s="128"/>
      <c r="H13" s="128"/>
      <c r="I13" s="128"/>
      <c r="J13" s="128"/>
      <c r="K13" s="128"/>
      <c r="L13" s="128"/>
      <c r="M13" s="125"/>
      <c r="N13" s="125"/>
      <c r="O13" s="125"/>
      <c r="P13" s="125"/>
      <c r="Q13" s="125"/>
      <c r="R13" s="125"/>
      <c r="S13" s="125"/>
    </row>
    <row r="14" spans="1:22" ht="23.25" x14ac:dyDescent="0.25">
      <c r="D14" s="125"/>
      <c r="E14" s="132" t="s">
        <v>97</v>
      </c>
      <c r="F14" s="132"/>
      <c r="G14" s="132"/>
      <c r="H14" s="132"/>
      <c r="I14" s="132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</row>
    <row r="15" spans="1:22" ht="44.25" x14ac:dyDescent="0.55000000000000004">
      <c r="A15" s="125"/>
      <c r="B15" s="133"/>
      <c r="D15" s="133"/>
      <c r="E15" s="134" t="s">
        <v>57</v>
      </c>
      <c r="F15" s="133"/>
      <c r="G15" s="125"/>
      <c r="H15" s="134" t="s">
        <v>57</v>
      </c>
      <c r="I15" s="125"/>
      <c r="J15" s="125"/>
      <c r="K15" s="134" t="s">
        <v>57</v>
      </c>
      <c r="L15" s="125"/>
      <c r="M15" s="125"/>
      <c r="N15" s="134" t="s">
        <v>57</v>
      </c>
      <c r="O15" s="125"/>
      <c r="P15" s="125"/>
      <c r="Q15" s="125"/>
      <c r="R15" s="125"/>
      <c r="S15" s="125"/>
    </row>
    <row r="16" spans="1:22" x14ac:dyDescent="0.25">
      <c r="A16" s="125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</row>
    <row r="17" spans="1:19" x14ac:dyDescent="0.25">
      <c r="A17" s="125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</row>
    <row r="18" spans="1:19" x14ac:dyDescent="0.25">
      <c r="A18" s="125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</row>
    <row r="19" spans="1:19" x14ac:dyDescent="0.25">
      <c r="A19" s="125"/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</row>
    <row r="20" spans="1:19" x14ac:dyDescent="0.25">
      <c r="A20" s="125"/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</row>
    <row r="21" spans="1:19" x14ac:dyDescent="0.25">
      <c r="A21" s="125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</row>
  </sheetData>
  <sheetProtection algorithmName="SHA-512" hashValue="SkwKHYBvPxfr6zc/q6SPQUa7a+MYDCAVL+xYgwjha46wV8XFN9XoggY1ADxNjZaYmwZp0yLOWmxThuqh7vr81g==" saltValue="FRl8KWRhELIPpSkOS6csJA==" spinCount="100000" sheet="1" objects="1" scenarios="1" selectLockedCells="1"/>
  <mergeCells count="4">
    <mergeCell ref="E6:N6"/>
    <mergeCell ref="E8:N8"/>
    <mergeCell ref="D10:Q10"/>
    <mergeCell ref="D12:O12"/>
  </mergeCells>
  <hyperlinks>
    <hyperlink ref="D12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30"/>
  <sheetViews>
    <sheetView showGridLines="0" showZeros="0" zoomScaleNormal="100" workbookViewId="0">
      <selection activeCell="C11" sqref="C11"/>
    </sheetView>
  </sheetViews>
  <sheetFormatPr defaultColWidth="0" defaultRowHeight="15" zeroHeight="1" x14ac:dyDescent="0.25"/>
  <cols>
    <col min="1" max="1" width="1.42578125" style="66" customWidth="1"/>
    <col min="2" max="2" width="10.7109375" bestFit="1" customWidth="1"/>
    <col min="3" max="3" width="10" customWidth="1"/>
    <col min="4" max="4" width="9.140625" customWidth="1"/>
    <col min="5" max="5" width="7.5703125" customWidth="1"/>
    <col min="6" max="6" width="7.7109375" customWidth="1"/>
    <col min="7" max="7" width="6" customWidth="1"/>
    <col min="8" max="8" width="17.140625" customWidth="1"/>
    <col min="9" max="9" width="2.85546875" style="66" customWidth="1"/>
    <col min="10" max="10" width="2.85546875" style="3" customWidth="1"/>
    <col min="11" max="11" width="17.140625" customWidth="1"/>
    <col min="12" max="12" width="2.85546875" style="3" customWidth="1"/>
    <col min="13" max="13" width="17.140625" customWidth="1"/>
    <col min="14" max="14" width="2.85546875" style="3" customWidth="1"/>
    <col min="15" max="15" width="17.140625" customWidth="1"/>
    <col min="16" max="16" width="2.85546875" style="3" customWidth="1"/>
    <col min="17" max="17" width="17.140625" customWidth="1"/>
    <col min="18" max="18" width="2.85546875" style="3" customWidth="1"/>
    <col min="19" max="19" width="17.140625" customWidth="1"/>
    <col min="20" max="20" width="2.85546875" style="3" customWidth="1"/>
    <col min="21" max="21" width="17.140625" customWidth="1"/>
    <col min="22" max="22" width="2.85546875" style="3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4.5" customHeight="1" x14ac:dyDescent="0.25">
      <c r="A1" s="139"/>
      <c r="J1" s="67"/>
      <c r="L1" s="67"/>
      <c r="N1" s="67"/>
      <c r="P1" s="67"/>
      <c r="R1" s="67"/>
      <c r="T1" s="67"/>
      <c r="V1" s="67"/>
    </row>
    <row r="2" spans="1:24" ht="18.75" x14ac:dyDescent="0.3">
      <c r="A2" s="137">
        <f ca="1">TODAY()</f>
        <v>43220</v>
      </c>
      <c r="B2" s="157" t="s">
        <v>7</v>
      </c>
      <c r="C2" s="157"/>
      <c r="D2" s="157"/>
      <c r="E2" s="157"/>
      <c r="F2" s="157"/>
      <c r="G2" s="157"/>
      <c r="H2" s="157"/>
      <c r="J2" s="165"/>
      <c r="K2" s="165"/>
      <c r="L2" s="17"/>
      <c r="M2" s="164" t="s">
        <v>58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11</v>
      </c>
      <c r="X2" s="66"/>
    </row>
    <row r="3" spans="1:24" x14ac:dyDescent="0.25">
      <c r="A3" s="137">
        <f ca="1">MONTH(A2)</f>
        <v>4</v>
      </c>
      <c r="B3" s="4" t="s">
        <v>8</v>
      </c>
      <c r="C3" s="4" t="s">
        <v>9</v>
      </c>
      <c r="D3" s="158" t="s">
        <v>10</v>
      </c>
      <c r="E3" s="159"/>
      <c r="F3" s="159"/>
      <c r="G3" s="159"/>
      <c r="H3" s="160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ht="15" customHeight="1" x14ac:dyDescent="0.25">
      <c r="A4" s="137">
        <f ca="1">DAY(A2)</f>
        <v>30</v>
      </c>
      <c r="B4" s="103">
        <v>1</v>
      </c>
      <c r="C4" s="104">
        <v>1</v>
      </c>
      <c r="D4" s="152" t="s">
        <v>98</v>
      </c>
      <c r="E4" s="153"/>
      <c r="F4" s="153"/>
      <c r="G4" s="153"/>
      <c r="H4" s="154"/>
      <c r="I4" s="69"/>
      <c r="J4" s="79"/>
      <c r="K4" s="80"/>
      <c r="L4" s="26">
        <v>1</v>
      </c>
      <c r="M4" s="52" t="str">
        <f t="array" ref="M4">IFERROR(INDEX($B$4:$H$27,SMALL(IF($B$4:$B$27=L$4,ROW($B$4:$B$27)-3),ROW($A1)),3),"")</f>
        <v>Ano  Novo</v>
      </c>
      <c r="N4" s="26">
        <v>2</v>
      </c>
      <c r="O4" s="27" t="str">
        <f t="array" ref="O4">IFERROR(INDEX($B$4:$H$27,SMALL(IF($B$4:$B$27=N$4,ROW($B$4:$B$27)-3),ROW($A1)),3),"")</f>
        <v/>
      </c>
      <c r="P4" s="28">
        <v>3</v>
      </c>
      <c r="Q4" s="27" t="str">
        <f t="array" ref="Q4">IFERROR(INDEX($B$4:$H$27,SMALL(IF($B$4:$B$27=P$4,ROW($B$4:$B$27)-3),ROW($A1)),3),"")</f>
        <v/>
      </c>
      <c r="R4" s="26">
        <v>4</v>
      </c>
      <c r="S4" s="27" t="str">
        <f t="array" ref="S4">IFERROR(INDEX($B$4:$H$27,SMALL(IF($B$4:$B$27=R$4,ROW($B$4:$B$27)-3),ROW($A1)),3),"")</f>
        <v/>
      </c>
      <c r="T4" s="26">
        <v>5</v>
      </c>
      <c r="U4" s="27" t="str">
        <f t="array" ref="U4">IFERROR(INDEX($B$4:$H$27,SMALL(IF($B$4:$B$27=T$4,ROW($B$4:$B$27)-3),ROW($A1)),3),"")</f>
        <v/>
      </c>
      <c r="V4" s="26">
        <v>6</v>
      </c>
      <c r="W4" s="29" t="str">
        <f t="array" ref="W4">IFERROR(INDEX($B$4:$H$27,SMALL(IF($B$4:$B$27=V$4,ROW($B$4:$B$27)-3),ROW($A1)),3),"")</f>
        <v/>
      </c>
      <c r="X4" s="66"/>
    </row>
    <row r="5" spans="1:24" ht="15" customHeight="1" x14ac:dyDescent="0.25">
      <c r="A5" s="138">
        <v>1</v>
      </c>
      <c r="B5" s="103"/>
      <c r="C5" s="104"/>
      <c r="D5" s="152"/>
      <c r="E5" s="153"/>
      <c r="F5" s="153"/>
      <c r="G5" s="153"/>
      <c r="H5" s="154"/>
      <c r="I5" s="69"/>
      <c r="J5" s="168"/>
      <c r="K5" s="169"/>
      <c r="L5" s="53"/>
      <c r="M5" s="54" t="str">
        <f t="array" ref="M5">IFERROR(INDEX($B$4:$H$27,SMALL(IF($B$4:$B$27=L$4,ROW($B$4:$B$27)-3),ROW($A2)),3),"")</f>
        <v/>
      </c>
      <c r="N5" s="32"/>
      <c r="O5" s="31"/>
      <c r="P5" s="30"/>
      <c r="Q5" s="31" t="str">
        <f t="array" ref="Q5">IFERROR(INDEX($B$4:$H$27,SMALL(IF($B$4:$B$27=P$4,ROW($B$4:$B$27)-3),ROW($A2)),3),"")</f>
        <v/>
      </c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ht="15" customHeight="1" x14ac:dyDescent="0.25">
      <c r="B6" s="105"/>
      <c r="C6" s="113"/>
      <c r="D6" s="152"/>
      <c r="E6" s="153"/>
      <c r="F6" s="153"/>
      <c r="G6" s="153"/>
      <c r="H6" s="154"/>
      <c r="I6" s="70"/>
      <c r="J6" s="170"/>
      <c r="K6" s="169"/>
      <c r="L6" s="55"/>
      <c r="M6" s="54" t="str">
        <f t="array" ref="M6">IFERROR(INDEX($B$4:$H$27,SMALL(IF($B$4:$B$27=L$4,ROW($B$4:$B$27)-3),ROW($A4)),3),"")</f>
        <v/>
      </c>
      <c r="N6" s="32"/>
      <c r="O6" s="31" t="str">
        <f t="array" ref="O6">IFERROR(INDEX($B$4:$H$27,SMALL(IF($B$4:$B$27=N$4,ROW($B$4:$B$27)-3),ROW($A4)),3),"")</f>
        <v/>
      </c>
      <c r="P6" s="33"/>
      <c r="Q6" s="31" t="str">
        <f t="array" ref="Q6">IFERROR(INDEX($B$4:$H$27,SMALL(IF($B$4:$B$27=P$4,ROW($B$4:$B$27)-3),ROW($A4)),3),"")</f>
        <v/>
      </c>
      <c r="R6" s="33"/>
      <c r="S6" s="31" t="str">
        <f t="array" ref="S6">IFERROR(INDEX($B$4:$H$27,SMALL(IF($B$4:$B$27=R$4,ROW($B$4:$B$27)-3),ROW($A4)),3),"")</f>
        <v/>
      </c>
      <c r="T6" s="33"/>
      <c r="U6" s="31" t="str">
        <f t="array" ref="U6">IFERROR(INDEX($B$4:$H$27,SMALL(IF($B$4:$B$27=T$4,ROW($B$4:$B$27)-3),ROW($A4)),3),"")</f>
        <v/>
      </c>
      <c r="V6" s="34"/>
      <c r="W6" s="35" t="str">
        <f t="array" ref="W6">IFERROR(INDEX($B$4:$H$27,SMALL(IF($B$4:$B$27=V$4,ROW($B$4:$B$27)-3),ROW($A4)),3),"")</f>
        <v/>
      </c>
      <c r="X6" s="66"/>
    </row>
    <row r="7" spans="1:24" x14ac:dyDescent="0.25">
      <c r="A7" s="68"/>
      <c r="B7" s="107"/>
      <c r="C7" s="145"/>
      <c r="D7" s="152"/>
      <c r="E7" s="153"/>
      <c r="F7" s="153"/>
      <c r="G7" s="153"/>
      <c r="H7" s="154"/>
      <c r="I7" s="70"/>
      <c r="J7" s="171"/>
      <c r="K7" s="172"/>
      <c r="L7" s="56"/>
      <c r="M7" s="57" t="str">
        <f t="array" ref="M7">IFERROR(INDEX($B$4:$H$27,SMALL(IF($B$4:$B$27=L$4,ROW($B$4:$B$27)-3),ROW($A5)),3),"")</f>
        <v/>
      </c>
      <c r="N7" s="38"/>
      <c r="O7" s="37" t="str">
        <f t="array" ref="O7">IFERROR(INDEX($B$4:$H$27,SMALL(IF($B$4:$B$27=N$4,ROW($B$4:$B$27)-3),ROW($A5)),3),"")</f>
        <v/>
      </c>
      <c r="P7" s="38"/>
      <c r="Q7" s="37" t="str">
        <f t="array" ref="Q7">IFERROR(INDEX($B$4:$H$27,SMALL(IF($B$4:$B$27=P$4,ROW($B$4:$B$27)-3),ROW($A5)),3),"")</f>
        <v/>
      </c>
      <c r="R7" s="38"/>
      <c r="S7" s="37" t="str">
        <f t="array" ref="S7">IFERROR(INDEX($B$4:$H$27,SMALL(IF($B$4:$B$27=R$4,ROW($B$4:$B$27)-3),ROW($A5)),3),"")</f>
        <v/>
      </c>
      <c r="T7" s="38"/>
      <c r="U7" s="37" t="str">
        <f t="array" ref="U7">IFERROR(INDEX($B$4:$H$27,SMALL(IF($B$4:$B$27=T$4,ROW($B$4:$B$27)-3),ROW($A5)),3),"")</f>
        <v/>
      </c>
      <c r="V7" s="39"/>
      <c r="W7" s="40" t="str">
        <f t="array" ref="W7">IFERROR(INDEX($B$4:$H$27,SMALL(IF($B$4:$B$27=V$4,ROW($B$4:$B$27)-3),ROW($A5)),3),"")</f>
        <v/>
      </c>
      <c r="X7" s="66"/>
    </row>
    <row r="8" spans="1:24" x14ac:dyDescent="0.25">
      <c r="A8" s="68"/>
      <c r="B8" s="107"/>
      <c r="C8" s="145"/>
      <c r="D8" s="152"/>
      <c r="E8" s="153"/>
      <c r="F8" s="153"/>
      <c r="G8" s="153"/>
      <c r="H8" s="154"/>
      <c r="I8" s="70"/>
      <c r="J8" s="41">
        <v>7</v>
      </c>
      <c r="K8" s="42" t="str">
        <f t="array" ref="K8">IFERROR(INDEX($B$4:$H$27,SMALL(IF($B$4:$B$27=J$8,ROW($B$4:$B$27)-3),ROW($A1)),3),"")</f>
        <v/>
      </c>
      <c r="L8" s="43">
        <v>8</v>
      </c>
      <c r="M8" s="25" t="str">
        <f t="array" ref="M8">IFERROR(INDEX($B$4:$H$27,SMALL(IF($B$4:$B$27=L$8,ROW($B$4:$B$27)-3),ROW($A1)),3),"")</f>
        <v/>
      </c>
      <c r="N8" s="43">
        <v>9</v>
      </c>
      <c r="O8" s="25" t="str">
        <f t="array" ref="O8">IFERROR(INDEX($B$4:$H$27,SMALL(IF($B$4:$B$27=N$8,ROW($B$4:$B$27)-3),ROW($A1)),3),"")</f>
        <v/>
      </c>
      <c r="P8" s="43">
        <v>10</v>
      </c>
      <c r="Q8" s="25" t="str">
        <f t="array" ref="Q8">IFERROR(INDEX($B$4:$H$27,SMALL(IF($B$4:$B$27=P$8,ROW($B$4:$B$27)-3),ROW($A1)),3),"")</f>
        <v/>
      </c>
      <c r="R8" s="43">
        <v>11</v>
      </c>
      <c r="S8" s="25" t="str">
        <f t="array" ref="S8">IFERROR(INDEX($B$4:$H$27,SMALL(IF($B$4:$B$27=R$8,ROW($B$4:$B$27)-3),ROW($A1)),3),"")</f>
        <v/>
      </c>
      <c r="T8" s="43">
        <v>12</v>
      </c>
      <c r="U8" s="25" t="str">
        <f t="array" ref="U8">IFERROR(INDEX($B$4:$H$27,SMALL(IF($B$4:$B$27=T$8,ROW($B$4:$B$27)-3),ROW($A1)),3),"")</f>
        <v/>
      </c>
      <c r="V8" s="43">
        <v>13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/>
      <c r="C9" s="145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/>
      <c r="C10" s="145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IFERROR(INDEX($B$4:$H$27,SMALL(IF($B$4:$B$27=J$8,ROW($B$4:$B$27)-3),ROW($A4)),3),"")</f>
        <v/>
      </c>
      <c r="L10" s="33"/>
      <c r="M10" s="31" t="str">
        <f t="array" ref="M10">IFERROR(INDEX($B$4:$H$27,SMALL(IF($B$4:$B$27=L$8,ROW($B$4:$B$27)-3),ROW($A4)),3),"")</f>
        <v/>
      </c>
      <c r="N10" s="33"/>
      <c r="O10" s="31" t="str">
        <f t="array" ref="O10">IFERROR(INDEX($B$4:$H$27,SMALL(IF($B$4:$B$27=N$8,ROW($B$4:$B$27)-3),ROW($A4)),3),"")</f>
        <v/>
      </c>
      <c r="P10" s="33"/>
      <c r="Q10" s="31" t="str">
        <f t="array" ref="Q10">IFERROR(INDEX($B$4:$H$27,SMALL(IF($B$4:$B$27=P$8,ROW($B$4:$B$27)-3),ROW($A4)),3),"")</f>
        <v/>
      </c>
      <c r="R10" s="32"/>
      <c r="S10" s="31" t="str">
        <f t="array" ref="S10">IFERROR(INDEX($B$4:$H$27,SMALL(IF($B$4:$B$27=R$8,ROW($B$4:$B$27)-3),ROW($A4)),3),"")</f>
        <v/>
      </c>
      <c r="T10" s="32"/>
      <c r="U10" s="31" t="str">
        <f t="array" ref="U10">IFERROR(INDEX($B$4:$H$27,SMALL(IF($B$4:$B$27=T$8,ROW($B$4:$B$27)-3),ROW($A4)),3),"")</f>
        <v/>
      </c>
      <c r="V10" s="34"/>
      <c r="W10" s="35" t="str">
        <f t="array" ref="W10">IFERROR(INDEX($B$4:$H$27,SMALL(IF($B$4:$B$27=V$8,ROW($B$4:$B$27)-3),ROW($A4)),3),"")</f>
        <v/>
      </c>
      <c r="X10" s="66"/>
    </row>
    <row r="11" spans="1:24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IFERROR(INDEX($B$4:$H$27,SMALL(IF($B$4:$B$27=J$8,ROW($B$4:$B$27)-3),ROW($A5)),3),"")</f>
        <v/>
      </c>
      <c r="L11" s="38"/>
      <c r="M11" s="37" t="str">
        <f t="array" ref="M11">IFERROR(INDEX($B$4:$H$27,SMALL(IF($B$4:$B$27=L$8,ROW($B$4:$B$27)-3),ROW($A5)),3),"")</f>
        <v/>
      </c>
      <c r="N11" s="38"/>
      <c r="O11" s="37" t="str">
        <f t="array" ref="O11">IFERROR(INDEX($B$4:$H$27,SMALL(IF($B$4:$B$27=N$8,ROW($B$4:$B$27)-3),ROW($A5)),3),"")</f>
        <v/>
      </c>
      <c r="P11" s="38"/>
      <c r="Q11" s="31" t="str">
        <f t="array" ref="Q11">IFERROR(INDEX($B$4:$H$27,SMALL(IF($B$4:$B$27=P$8,ROW($B$4:$B$27)-3),ROW($A5)),3),"")</f>
        <v/>
      </c>
      <c r="R11" s="36"/>
      <c r="S11" s="37" t="str">
        <f t="array" ref="S11">IFERROR(INDEX($B$4:$H$27,SMALL(IF($B$4:$B$27=R$8,ROW($B$4:$B$27)-3),ROW($A5)),3),"")</f>
        <v/>
      </c>
      <c r="T11" s="36"/>
      <c r="U11" s="31" t="str">
        <f t="array" ref="U11">IFERROR(INDEX($B$4:$H$27,SMALL(IF($B$4:$B$27=T$8,ROW($B$4:$B$27)-3),ROW($A5)),3),"")</f>
        <v/>
      </c>
      <c r="V11" s="39"/>
      <c r="W11" s="35" t="str">
        <f t="array" ref="W11">IFERROR(INDEX($B$4:$H$27,SMALL(IF($B$4:$B$27=V$8,ROW($B$4:$B$27)-3),ROW($A5)),3),"")</f>
        <v/>
      </c>
      <c r="X11" s="66"/>
    </row>
    <row r="12" spans="1:24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14</v>
      </c>
      <c r="K12" s="29" t="str">
        <f t="array" ref="K12">IFERROR(INDEX($B$4:$H$27,SMALL(IF($B$4:$B$27=J$12,ROW($B$4:$B$27)-3),ROW($A$1)),3),"")</f>
        <v/>
      </c>
      <c r="L12" s="43">
        <v>15</v>
      </c>
      <c r="M12" s="25" t="str">
        <f t="array" ref="M12">IFERROR(INDEX($B$4:$H$27,SMALL(IF($B$4:$B$27=L$12,ROW($B$4:$B$27)-3),ROW($A$1)),3),"")</f>
        <v/>
      </c>
      <c r="N12" s="43">
        <v>16</v>
      </c>
      <c r="O12" s="25" t="str">
        <f t="array" ref="O12">IFERROR(INDEX($B$4:$H$27,SMALL(IF($B$4:$B$27=N$12,ROW($B$4:$B$27)-3),ROW($A$1)),3),"")</f>
        <v/>
      </c>
      <c r="P12" s="43">
        <v>17</v>
      </c>
      <c r="Q12" s="27" t="str">
        <f t="array" ref="Q12">IFERROR(INDEX($B$4:$H$27,SMALL(IF($B$4:$B$27=P$12,ROW($B$4:$B$27)-3),ROW($A$1)),3),"")</f>
        <v/>
      </c>
      <c r="R12" s="43">
        <v>18</v>
      </c>
      <c r="S12" s="25" t="str">
        <f t="array" ref="S12">IFERROR(INDEX($B$4:$H$27,SMALL(IF($B$4:$B$27=R$12,ROW($B$4:$B$27)-3),ROW($A$1)),3),"")</f>
        <v/>
      </c>
      <c r="T12" s="43">
        <v>19</v>
      </c>
      <c r="U12" s="27" t="str">
        <f t="array" ref="U12">IFERROR(INDEX($B$4:$H$27,SMALL(IF($B$4:$B$27=T$12,ROW($B$4:$B$27)-3),ROW($A$1)),3),"")</f>
        <v/>
      </c>
      <c r="V12" s="28">
        <v>20</v>
      </c>
      <c r="W12" s="29" t="str">
        <f t="array" ref="W12">IFERROR(INDEX($B$4:$H$27,SMALL(IF($B$4:$B$27=V$12,ROW($B$4:$B$27)-3),ROW($A$1)),3),"")</f>
        <v/>
      </c>
      <c r="X12" s="66"/>
    </row>
    <row r="13" spans="1:24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IFERROR(INDEX($B$4:$H$27,SMALL(IF($B$4:$B$27=J$12,ROW($B$4:$B$27)-3),ROW($A$4)),3),"")</f>
        <v/>
      </c>
      <c r="L14" s="33"/>
      <c r="M14" s="31" t="str">
        <f t="array" ref="M14">IFERROR(INDEX($B$4:$H$27,SMALL(IF($B$4:$B$27=L$12,ROW($B$4:$B$27)-3),ROW($A$4)),3),"")</f>
        <v/>
      </c>
      <c r="N14" s="33"/>
      <c r="O14" s="31" t="str">
        <f t="array" ref="O14">IFERROR(INDEX($B$4:$H$27,SMALL(IF($B$4:$B$27=N$12,ROW($B$4:$B$27)-3),ROW($A$4)),3),"")</f>
        <v/>
      </c>
      <c r="P14" s="33"/>
      <c r="Q14" s="31" t="str">
        <f t="array" ref="Q14">IFERROR(INDEX($B$4:$H$27,SMALL(IF($B$4:$B$27=P$12,ROW($B$4:$B$27)-3),ROW($A$4)),3),"")</f>
        <v/>
      </c>
      <c r="R14" s="32"/>
      <c r="S14" s="31" t="str">
        <f t="array" ref="S14">IFERROR(INDEX($B$4:$H$27,SMALL(IF($B$4:$B$27=R$12,ROW($B$4:$B$27)-3),ROW($A$4)),3),"")</f>
        <v/>
      </c>
      <c r="T14" s="32"/>
      <c r="U14" s="31" t="str">
        <f t="array" ref="U14">IFERROR(INDEX($B$4:$H$27,SMALL(IF($B$4:$B$27=T$12,ROW($B$4:$B$27)-3),ROW($A$4)),3),"")</f>
        <v/>
      </c>
      <c r="V14" s="34"/>
      <c r="W14" s="35" t="str">
        <f t="array" ref="W14">IFERROR(INDEX($B$4:$H$27,SMALL(IF($B$4:$B$27=V$12,ROW($B$4:$B$27)-3),ROW($A$4)),3),"")</f>
        <v/>
      </c>
      <c r="X14" s="66"/>
    </row>
    <row r="15" spans="1:24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IFERROR(INDEX($B$4:$H$27,SMALL(IF($B$4:$B$27=J$12,ROW($B$4:$B$27)-3),ROW($A$5)),3),"")</f>
        <v/>
      </c>
      <c r="L15" s="38"/>
      <c r="M15" s="37" t="str">
        <f t="array" ref="M15">IFERROR(INDEX($B$4:$H$27,SMALL(IF($B$4:$B$27=L$12,ROW($B$4:$B$27)-3),ROW($A$5)),3),"")</f>
        <v/>
      </c>
      <c r="N15" s="38"/>
      <c r="O15" s="37" t="str">
        <f t="array" ref="O15">IFERROR(INDEX($B$4:$H$27,SMALL(IF($B$4:$B$27=N$12,ROW($B$4:$B$27)-3),ROW($A$5)),3),"")</f>
        <v/>
      </c>
      <c r="P15" s="38"/>
      <c r="Q15" s="31" t="str">
        <f t="array" ref="Q15">IFERROR(INDEX($B$4:$H$27,SMALL(IF($B$4:$B$27=P$12,ROW($B$4:$B$27)-3),ROW($A$5)),3),"")</f>
        <v/>
      </c>
      <c r="R15" s="36"/>
      <c r="S15" s="37" t="str">
        <f t="array" ref="S15">IFERROR(INDEX($B$4:$H$27,SMALL(IF($B$4:$B$27=R$12,ROW($B$4:$B$27)-3),ROW($A$5)),3),"")</f>
        <v/>
      </c>
      <c r="T15" s="36"/>
      <c r="U15" s="31" t="str">
        <f t="array" ref="U15">IFERROR(INDEX($B$4:$H$27,SMALL(IF($B$4:$B$27=T$12,ROW($B$4:$B$27)-3),ROW($A$5)),3),"")</f>
        <v/>
      </c>
      <c r="V15" s="39"/>
      <c r="W15" s="40" t="str">
        <f t="array" ref="W15">IFERROR(INDEX($B$4:$H$27,SMALL(IF($B$4:$B$27=V$12,ROW($B$4:$B$27)-3),ROW($A$5)),3),"")</f>
        <v/>
      </c>
      <c r="X15" s="66"/>
    </row>
    <row r="16" spans="1:24" x14ac:dyDescent="0.25">
      <c r="A16" s="68"/>
      <c r="B16" s="107"/>
      <c r="C16" s="108"/>
      <c r="D16" s="152"/>
      <c r="E16" s="153"/>
      <c r="F16" s="153"/>
      <c r="G16" s="153"/>
      <c r="H16" s="154"/>
      <c r="J16" s="26">
        <v>21</v>
      </c>
      <c r="K16" s="29" t="str">
        <f t="array" ref="K16">IFERROR(INDEX($B$4:$H$27,SMALL(IF($B$4:$B$27=J$16,ROW($B$4:$B$27)-3),ROW($A1)),3),"")</f>
        <v/>
      </c>
      <c r="L16" s="43">
        <v>22</v>
      </c>
      <c r="M16" s="25" t="str">
        <f t="array" ref="M16">IFERROR(INDEX($B$4:$H$27,SMALL(IF($B$4:$B$27=L$16,ROW($B$4:$B$27)-3),ROW($A1)),3),"")</f>
        <v/>
      </c>
      <c r="N16" s="43">
        <v>23</v>
      </c>
      <c r="O16" s="25" t="str">
        <f t="array" ref="O16">IFERROR(INDEX($B$4:$H$27,SMALL(IF($B$4:$B$27=N$16,ROW($B$4:$B$27)-3),ROW($A1)),3),"")</f>
        <v/>
      </c>
      <c r="P16" s="43">
        <v>24</v>
      </c>
      <c r="Q16" s="27" t="str">
        <f t="array" ref="Q16">IFERROR(INDEX($B$4:$H$27,SMALL(IF($B$4:$B$27=P$16,ROW($B$4:$B$27)-3),ROW($A1)),3),"")</f>
        <v/>
      </c>
      <c r="R16" s="43">
        <v>25</v>
      </c>
      <c r="S16" s="25" t="str">
        <f t="array" ref="S16">IFERROR(INDEX($B$4:$H$27,SMALL(IF($B$4:$B$27=R$16,ROW($B$4:$B$27)-3),ROW($A1)),3),"")</f>
        <v/>
      </c>
      <c r="T16" s="43">
        <v>26</v>
      </c>
      <c r="U16" s="27" t="str">
        <f t="array" ref="U16">IFERROR(INDEX($B$4:$H$27,SMALL(IF($B$4:$B$27=T$16,ROW($B$4:$B$27)-3),ROW($A1)),3),"")</f>
        <v/>
      </c>
      <c r="V16" s="26">
        <v>27</v>
      </c>
      <c r="W16" s="29" t="str">
        <f t="array" ref="W16">IFERROR(INDEX($B$4:$H$27,SMALL(IF($B$4:$B$27=V$16,ROW($B$4:$B$27)-3),ROW($A1)),3),"")</f>
        <v/>
      </c>
      <c r="X16" s="66"/>
    </row>
    <row r="17" spans="1:24" x14ac:dyDescent="0.25">
      <c r="A17" s="68"/>
      <c r="B17" s="107"/>
      <c r="C17" s="108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IFERROR(INDEX($B$4:$H$27,SMALL(IF($B$4:$B$27=J$16,ROW($B$4:$B$27)-3),ROW($A4)),3),"")</f>
        <v/>
      </c>
      <c r="L18" s="33"/>
      <c r="M18" s="31" t="str">
        <f t="array" ref="M18">IFERROR(INDEX($B$4:$H$27,SMALL(IF($B$4:$B$27=L$16,ROW($B$4:$B$27)-3),ROW($A4)),3),"")</f>
        <v/>
      </c>
      <c r="N18" s="33"/>
      <c r="O18" s="31" t="str">
        <f t="array" ref="O18">IFERROR(INDEX($B$4:$H$27,SMALL(IF($B$4:$B$27=N$16,ROW($B$4:$B$27)-3),ROW($A4)),3),"")</f>
        <v/>
      </c>
      <c r="P18" s="33"/>
      <c r="Q18" s="31" t="str">
        <f t="array" ref="Q18">IFERROR(INDEX($B$4:$H$27,SMALL(IF($B$4:$B$27=P$16,ROW($B$4:$B$27)-3),ROW($A4)),3),"")</f>
        <v/>
      </c>
      <c r="R18" s="32"/>
      <c r="S18" s="31" t="str">
        <f t="array" ref="S18">IFERROR(INDEX($B$4:$H$27,SMALL(IF($B$4:$B$27=R$16,ROW($B$4:$B$27)-3),ROW($A4)),3),"")</f>
        <v/>
      </c>
      <c r="T18" s="32"/>
      <c r="U18" s="31" t="str">
        <f t="array" ref="U18">IFERROR(INDEX($B$4:$H$27,SMALL(IF($B$4:$B$27=T$16,ROW($B$4:$B$27)-3),ROW($A4)),3),"")</f>
        <v/>
      </c>
      <c r="V18" s="34"/>
      <c r="W18" s="35" t="str">
        <f t="array" ref="W18">IFERROR(INDEX($B$4:$H$27,SMALL(IF($B$4:$B$27=V$16,ROW($B$4:$B$27)-3),ROW($A4)),3),"")</f>
        <v/>
      </c>
      <c r="X18" s="66"/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I19" s="69"/>
      <c r="J19" s="39"/>
      <c r="K19" s="40" t="str">
        <f t="array" ref="K19">IFERROR(INDEX($B$4:$H$27,SMALL(IF($B$4:$B$27=J$16,ROW($B$4:$B$27)-3),ROW($A5)),3),"")</f>
        <v/>
      </c>
      <c r="L19" s="38"/>
      <c r="M19" s="37" t="str">
        <f t="array" ref="M19">IFERROR(INDEX($B$4:$H$27,SMALL(IF($B$4:$B$27=L$16,ROW($B$4:$B$27)-3),ROW($A5)),3),"")</f>
        <v/>
      </c>
      <c r="N19" s="38"/>
      <c r="O19" s="37" t="str">
        <f t="array" ref="O19">IFERROR(INDEX($B$4:$H$27,SMALL(IF($B$4:$B$27=N$16,ROW($B$4:$B$27)-3),ROW($A5)),3),"")</f>
        <v/>
      </c>
      <c r="P19" s="38"/>
      <c r="Q19" s="37" t="str">
        <f t="array" ref="Q19">IFERROR(INDEX($B$4:$H$27,SMALL(IF($B$4:$B$27=P$16,ROW($B$4:$B$27)-3),ROW($A5)),3),"")</f>
        <v/>
      </c>
      <c r="R19" s="36"/>
      <c r="S19" s="37" t="str">
        <f t="array" ref="S19">IFERROR(INDEX($B$4:$H$27,SMALL(IF($B$4:$B$27=R$16,ROW($B$4:$B$27)-3),ROW($A5)),3),"")</f>
        <v/>
      </c>
      <c r="T19" s="36"/>
      <c r="U19" s="37" t="str">
        <f t="array" ref="U19">IFERROR(INDEX($B$4:$H$27,SMALL(IF($B$4:$B$27=T$16,ROW($B$4:$B$27)-3),ROW($A5)),3),"")</f>
        <v/>
      </c>
      <c r="V19" s="39"/>
      <c r="W19" s="40" t="str">
        <f t="array" ref="W19">IFERROR(INDEX($B$4:$H$27,SMALL(IF($B$4:$B$27=V$16,ROW($B$4:$B$27)-3),ROW($A5)),3),"")</f>
        <v/>
      </c>
      <c r="X19" s="66"/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69"/>
      <c r="J20" s="49">
        <v>28</v>
      </c>
      <c r="K20" s="29" t="str">
        <f t="array" ref="K20">IFERROR(INDEX($B$4:$H$27,SMALL(IF($B$4:$B$27=J$20,ROW($B$4:$B$27)-3),ROW($A1)),3),"")</f>
        <v/>
      </c>
      <c r="L20" s="28">
        <v>29</v>
      </c>
      <c r="M20" s="25" t="str">
        <f t="array" ref="M20">IFERROR(INDEX($B$4:$H$27,SMALL(IF($B$4:$B$27=L$20,ROW($B$4:$B$27)-3),ROW($A1)),3),"")</f>
        <v/>
      </c>
      <c r="N20" s="43">
        <v>30</v>
      </c>
      <c r="O20" s="25" t="str">
        <f t="array" ref="O20">IFERROR(INDEX($B$4:$H$27,SMALL(IF($B$4:$B$27=N$20,ROW($B$4:$B$27)-3),ROW($A1)),3),"")</f>
        <v/>
      </c>
      <c r="P20" s="43">
        <v>31</v>
      </c>
      <c r="Q20" s="25" t="str">
        <f t="array" ref="Q20">IFERROR(INDEX($B$4:$H$27,SMALL(IF($B$4:$B$27=P$20,ROW($B$4:$B$27)-3),ROW($A1)),3),"")</f>
        <v/>
      </c>
      <c r="R20" s="79"/>
      <c r="S20" s="80"/>
      <c r="T20" s="79"/>
      <c r="U20" s="80"/>
      <c r="V20" s="79"/>
      <c r="W20" s="80"/>
      <c r="X20" s="66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69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79"/>
      <c r="S21" s="80"/>
      <c r="T21" s="79"/>
      <c r="U21" s="80"/>
      <c r="V21" s="79"/>
      <c r="W21" s="80"/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69"/>
      <c r="J22" s="48"/>
      <c r="K22" s="35" t="str">
        <f t="array" ref="K22">IFERROR(INDEX($B$4:$H$27,SMALL(IF($B$4:$B$27=J$20,ROW($B$4:$B$27)-3),ROW($A4)),3),"")</f>
        <v/>
      </c>
      <c r="L22" s="33"/>
      <c r="M22" s="31" t="str">
        <f t="array" ref="M22">IFERROR(INDEX($B$4:$H$27,SMALL(IF($B$4:$B$27=L$20,ROW($B$4:$B$27)-3),ROW($A4)),3),"")</f>
        <v/>
      </c>
      <c r="N22" s="33"/>
      <c r="O22" s="31" t="str">
        <f t="array" ref="O22">IFERROR(INDEX($B$4:$H$27,SMALL(IF($B$4:$B$27=N$20,ROW($B$4:$B$27)-3),ROW($A4)),3),"")</f>
        <v/>
      </c>
      <c r="P22" s="33"/>
      <c r="Q22" s="31" t="str">
        <f t="array" ref="Q22">IFERROR(INDEX($B$4:$H$27,SMALL(IF($B$4:$B$27=P$20,ROW($B$4:$B$27)-3),ROW($A4)),3),"")</f>
        <v/>
      </c>
      <c r="R22" s="79"/>
      <c r="S22" s="80"/>
      <c r="T22" s="102"/>
      <c r="U22" s="80"/>
      <c r="V22" s="79"/>
      <c r="W22" s="80"/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IFERROR(INDEX($B$4:$H$27,SMALL(IF($B$4:$B$27=J$20,ROW($B$4:$B$27)-3),ROW($A5)),3),"")</f>
        <v/>
      </c>
      <c r="L23" s="38"/>
      <c r="M23" s="37" t="str">
        <f t="array" ref="M23">IFERROR(INDEX($B$4:$H$27,SMALL(IF($B$4:$B$27=L$20,ROW($B$4:$B$27)-3),ROW($A5)),3),"")</f>
        <v/>
      </c>
      <c r="N23" s="38"/>
      <c r="O23" s="37" t="str">
        <f t="array" ref="O23">IFERROR(INDEX($B$4:$H$27,SMALL(IF($B$4:$B$27=N$20,ROW($B$4:$B$27)-3),ROW($A5)),3),"")</f>
        <v/>
      </c>
      <c r="P23" s="38"/>
      <c r="Q23" s="37" t="str">
        <f t="array" ref="Q23">IFERROR(INDEX($B$4:$H$27,SMALL(IF($B$4:$B$27=P$20,ROW($B$4:$B$27)-3),ROW($A5)),3),"")</f>
        <v/>
      </c>
      <c r="R23" s="83"/>
      <c r="S23" s="84"/>
      <c r="T23" s="81"/>
      <c r="U23" s="84"/>
      <c r="V23" s="83"/>
      <c r="W23" s="84"/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J24" s="71"/>
      <c r="K24" s="72"/>
      <c r="L24" s="71"/>
      <c r="M24" s="73"/>
      <c r="N24" s="71"/>
      <c r="O24" s="73"/>
      <c r="P24" s="71"/>
      <c r="Q24" s="73"/>
      <c r="R24" s="71"/>
      <c r="S24" s="73"/>
      <c r="T24" s="71"/>
      <c r="U24" s="73"/>
      <c r="V24" s="71"/>
      <c r="W24" s="73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J25" s="67"/>
      <c r="K25" s="66"/>
      <c r="L25" s="67"/>
      <c r="M25" s="66"/>
      <c r="N25" s="67"/>
      <c r="O25" s="66"/>
      <c r="P25" s="67"/>
      <c r="Q25" s="66"/>
      <c r="R25" s="67"/>
      <c r="S25" s="66"/>
      <c r="T25" s="67"/>
      <c r="U25" s="66"/>
      <c r="V25" s="67"/>
      <c r="W25" s="66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J26" s="67"/>
      <c r="K26" s="66"/>
      <c r="L26" s="67"/>
      <c r="M26" s="66"/>
      <c r="N26" s="67"/>
      <c r="O26" s="66"/>
      <c r="P26" s="67"/>
      <c r="Q26" s="66"/>
      <c r="R26" s="67"/>
      <c r="S26" s="66"/>
      <c r="T26" s="67"/>
      <c r="U26" s="66"/>
      <c r="V26" s="67"/>
      <c r="W26" s="66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7"/>
      <c r="K27" s="66"/>
      <c r="L27" s="67"/>
      <c r="M27" s="66"/>
      <c r="N27" s="67"/>
      <c r="O27" s="66"/>
      <c r="P27" s="67"/>
      <c r="Q27" s="66"/>
      <c r="R27" s="67"/>
      <c r="S27" s="66"/>
      <c r="T27" s="67"/>
      <c r="U27" s="66"/>
      <c r="V27" s="67"/>
      <c r="W27" s="66"/>
      <c r="X27" s="66"/>
    </row>
    <row r="28" spans="1:24" s="66" customFormat="1" x14ac:dyDescent="0.25">
      <c r="J28" s="67"/>
      <c r="L28" s="67"/>
      <c r="N28" s="67"/>
      <c r="P28" s="67"/>
      <c r="R28" s="67"/>
      <c r="T28" s="67"/>
      <c r="V28" s="67"/>
    </row>
    <row r="29" spans="1:24" s="66" customFormat="1" hidden="1" x14ac:dyDescent="0.25">
      <c r="J29" s="67"/>
      <c r="L29" s="67"/>
      <c r="N29" s="67"/>
      <c r="P29" s="67"/>
      <c r="R29" s="67"/>
      <c r="T29" s="67"/>
      <c r="V29" s="67"/>
    </row>
    <row r="30" spans="1:24" s="66" customFormat="1" hidden="1" x14ac:dyDescent="0.25">
      <c r="J30" s="67"/>
      <c r="L30" s="67"/>
      <c r="N30" s="67"/>
      <c r="P30" s="67"/>
      <c r="R30" s="67"/>
      <c r="T30" s="67"/>
      <c r="V30" s="67"/>
    </row>
  </sheetData>
  <sheetProtection algorithmName="SHA-512" hashValue="AKEIRGoAIYTsaqM0na3S7/HTVDPDU9ez2ow4SnBm5Jd/8xzh5jXKxVlbnKFDGj4PyYxrgeaUu6dchLxcLUsr3g==" saltValue="OJavLqPujPRg961fRtucfQ==" spinCount="100000" sheet="1" objects="1" scenarios="1" selectLockedCells="1"/>
  <sortState ref="B4:H27">
    <sortCondition ref="B4"/>
  </sortState>
  <mergeCells count="38">
    <mergeCell ref="D24:H24"/>
    <mergeCell ref="D25:H25"/>
    <mergeCell ref="D26:H26"/>
    <mergeCell ref="D27:H27"/>
    <mergeCell ref="M2:U2"/>
    <mergeCell ref="J2:K2"/>
    <mergeCell ref="N3:O3"/>
    <mergeCell ref="J3:K3"/>
    <mergeCell ref="J5:K5"/>
    <mergeCell ref="J6:K6"/>
    <mergeCell ref="J7:K7"/>
    <mergeCell ref="L3:M3"/>
    <mergeCell ref="R3:S3"/>
    <mergeCell ref="P3:Q3"/>
    <mergeCell ref="T3:U3"/>
    <mergeCell ref="D6:H6"/>
    <mergeCell ref="V3:W3"/>
    <mergeCell ref="B2:H2"/>
    <mergeCell ref="D3:H3"/>
    <mergeCell ref="D4:H4"/>
    <mergeCell ref="D5:H5"/>
    <mergeCell ref="D7:H7"/>
    <mergeCell ref="D8:H8"/>
    <mergeCell ref="D9:H9"/>
    <mergeCell ref="D10:H10"/>
    <mergeCell ref="D20:H20"/>
    <mergeCell ref="D21:H21"/>
    <mergeCell ref="D22:H22"/>
    <mergeCell ref="D23:H23"/>
    <mergeCell ref="D11:H11"/>
    <mergeCell ref="D12:H12"/>
    <mergeCell ref="D13:H13"/>
    <mergeCell ref="D14:H14"/>
    <mergeCell ref="D15:H15"/>
    <mergeCell ref="D16:H16"/>
    <mergeCell ref="D17:H17"/>
    <mergeCell ref="D18:H18"/>
    <mergeCell ref="D19:H19"/>
  </mergeCells>
  <conditionalFormatting sqref="B4:H27">
    <cfRule type="notContainsBlanks" dxfId="27" priority="1">
      <formula>LEN(TRIM(B4))&gt;0</formula>
    </cfRule>
  </conditionalFormatting>
  <hyperlinks>
    <hyperlink ref="W2" location="Fevereiro!A1" display="Fevereiro →"/>
  </hyperlinks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Z30"/>
  <sheetViews>
    <sheetView showGridLines="0" topLeftCell="F1" workbookViewId="0">
      <selection activeCell="W2" sqref="W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7" width="9.1406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5.25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12</v>
      </c>
      <c r="K2" s="176"/>
      <c r="L2" s="17"/>
      <c r="M2" s="164" t="s">
        <v>59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13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03">
        <v>13</v>
      </c>
      <c r="C4" s="104">
        <v>0</v>
      </c>
      <c r="D4" s="152" t="s">
        <v>91</v>
      </c>
      <c r="E4" s="153"/>
      <c r="F4" s="153"/>
      <c r="G4" s="153"/>
      <c r="H4" s="154"/>
      <c r="I4" s="77"/>
      <c r="J4" s="79"/>
      <c r="K4" s="80"/>
      <c r="L4" s="79"/>
      <c r="M4" s="80"/>
      <c r="N4" s="79"/>
      <c r="O4" s="100"/>
      <c r="P4" s="101"/>
      <c r="Q4" s="100"/>
      <c r="R4" s="26">
        <v>1</v>
      </c>
      <c r="S4" s="27" t="str">
        <f t="array" ref="S4">IFERROR(INDEX($B$4:$H$27,SMALL(IF($B$4:$B$27=R$4,ROW($B$4:$B$27)-3),ROW($A1)),3),"")</f>
        <v/>
      </c>
      <c r="T4" s="26">
        <v>2</v>
      </c>
      <c r="U4" s="27" t="str">
        <f t="array" ref="U4">IFERROR(INDEX($B$4:$H$27,SMALL(IF($B$4:$B$27=T$4,ROW($B$4:$B$27)-3),ROW($A1)),3),"")</f>
        <v/>
      </c>
      <c r="V4" s="26">
        <v>3</v>
      </c>
      <c r="W4" s="29" t="str">
        <f t="array" ref="W4">IFERROR(INDEX($B$4:$H$27,SMALL(IF($B$4:$B$27=V$4,ROW($B$4:$B$27)-3),ROW($A1)),3),"")</f>
        <v/>
      </c>
      <c r="X4" s="66"/>
    </row>
    <row r="5" spans="1:24" x14ac:dyDescent="0.25">
      <c r="A5" s="138">
        <v>2</v>
      </c>
      <c r="B5" s="103">
        <v>18</v>
      </c>
      <c r="C5" s="104">
        <v>0</v>
      </c>
      <c r="D5" s="152" t="s">
        <v>92</v>
      </c>
      <c r="E5" s="153"/>
      <c r="F5" s="153"/>
      <c r="G5" s="153"/>
      <c r="H5" s="154"/>
      <c r="I5" s="77"/>
      <c r="J5" s="168"/>
      <c r="K5" s="169"/>
      <c r="L5" s="168"/>
      <c r="M5" s="169"/>
      <c r="N5" s="168"/>
      <c r="O5" s="169"/>
      <c r="P5" s="168"/>
      <c r="Q5" s="169"/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05"/>
      <c r="C6" s="106"/>
      <c r="D6" s="152"/>
      <c r="E6" s="153"/>
      <c r="F6" s="153"/>
      <c r="G6" s="153"/>
      <c r="H6" s="154"/>
      <c r="I6" s="77"/>
      <c r="J6" s="170"/>
      <c r="K6" s="169"/>
      <c r="L6" s="170"/>
      <c r="M6" s="169"/>
      <c r="N6" s="170"/>
      <c r="O6" s="169"/>
      <c r="P6" s="170"/>
      <c r="Q6" s="169"/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7"/>
      <c r="C7" s="108"/>
      <c r="D7" s="152"/>
      <c r="E7" s="153"/>
      <c r="F7" s="153"/>
      <c r="G7" s="153"/>
      <c r="H7" s="154"/>
      <c r="I7" s="77"/>
      <c r="J7" s="171"/>
      <c r="K7" s="172"/>
      <c r="L7" s="171"/>
      <c r="M7" s="172"/>
      <c r="N7" s="171"/>
      <c r="O7" s="172"/>
      <c r="P7" s="171"/>
      <c r="Q7" s="172"/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7"/>
      <c r="C8" s="108"/>
      <c r="D8" s="152"/>
      <c r="E8" s="153"/>
      <c r="F8" s="153"/>
      <c r="G8" s="153"/>
      <c r="H8" s="154"/>
      <c r="I8" s="77"/>
      <c r="J8" s="41">
        <v>4</v>
      </c>
      <c r="K8" s="42" t="str">
        <f t="array" ref="K8">IFERROR(INDEX($B$4:$H$27,SMALL(IF($B$4:$B$27=J$8,ROW($B$4:$B$27)-3),ROW($A1)),3),"")</f>
        <v/>
      </c>
      <c r="L8" s="43">
        <v>5</v>
      </c>
      <c r="M8" s="25" t="str">
        <f t="array" ref="M8">IFERROR(INDEX($B$4:$H$27,SMALL(IF($B$4:$B$27=L$8,ROW($B$4:$B$27)-3),ROW($A1)),3),"")</f>
        <v/>
      </c>
      <c r="N8" s="43">
        <v>6</v>
      </c>
      <c r="O8" s="25" t="str">
        <f t="array" ref="O8">IFERROR(INDEX($B$4:$H$27,SMALL(IF($B$4:$B$27=N$8,ROW($B$4:$B$27)-3),ROW($A1)),3),"")</f>
        <v/>
      </c>
      <c r="P8" s="43">
        <v>7</v>
      </c>
      <c r="Q8" s="25" t="str">
        <f t="array" ref="Q8">IFERROR(INDEX($B$4:$H$27,SMALL(IF($B$4:$B$27=P$8,ROW($B$4:$B$27)-3),ROW($A1)),3),"")</f>
        <v/>
      </c>
      <c r="R8" s="43">
        <v>8</v>
      </c>
      <c r="S8" s="25" t="str">
        <f t="array" ref="S8">IFERROR(INDEX($B$4:$H$27,SMALL(IF($B$4:$B$27=R$8,ROW($B$4:$B$27)-3),ROW($A1)),3),"")</f>
        <v/>
      </c>
      <c r="T8" s="43">
        <v>9</v>
      </c>
      <c r="U8" s="25" t="str">
        <f t="array" ref="U8">IFERROR(INDEX($B$4:$H$27,SMALL(IF($B$4:$B$27=T$8,ROW($B$4:$B$27)-3),ROW($A1)),3),"")</f>
        <v/>
      </c>
      <c r="V8" s="43">
        <v>10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/>
      <c r="C9" s="108"/>
      <c r="D9" s="152"/>
      <c r="E9" s="153"/>
      <c r="F9" s="153"/>
      <c r="G9" s="153"/>
      <c r="H9" s="154"/>
      <c r="I9" s="77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/>
      <c r="C10" s="108"/>
      <c r="D10" s="152"/>
      <c r="E10" s="153"/>
      <c r="F10" s="153"/>
      <c r="G10" s="153"/>
      <c r="H10" s="154"/>
      <c r="I10" s="77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/>
      <c r="C11" s="106"/>
      <c r="D11" s="152"/>
      <c r="E11" s="153"/>
      <c r="F11" s="153"/>
      <c r="G11" s="153"/>
      <c r="H11" s="154"/>
      <c r="I11" s="77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ht="15" customHeight="1" x14ac:dyDescent="0.25">
      <c r="A12" s="68"/>
      <c r="B12" s="107"/>
      <c r="C12" s="108"/>
      <c r="D12" s="152"/>
      <c r="E12" s="153"/>
      <c r="F12" s="153"/>
      <c r="G12" s="153"/>
      <c r="H12" s="154"/>
      <c r="I12" s="77"/>
      <c r="J12" s="26">
        <v>11</v>
      </c>
      <c r="K12" s="29" t="str">
        <f t="array" ref="K12">IFERROR(INDEX($B$4:$H$27,SMALL(IF($B$4:$B$27=J$12,ROW($B$4:$B$27)-3),ROW($A$1)),3),"")</f>
        <v/>
      </c>
      <c r="L12" s="43">
        <v>12</v>
      </c>
      <c r="M12" s="25" t="str">
        <f t="array" ref="M12">IFERROR(INDEX($B$4:$H$27,SMALL(IF($B$4:$B$27=L$12,ROW($B$4:$B$27)-3),ROW($A$1)),3),"")</f>
        <v/>
      </c>
      <c r="N12" s="43">
        <v>13</v>
      </c>
      <c r="O12" s="58" t="str">
        <f t="array" ref="O12">IFERROR(INDEX($B$4:$H$27,SMALL(IF($B$4:$B$27=N$12,ROW($B$4:$B$27)-3),ROW($A$1)),3),"")</f>
        <v>Carnval</v>
      </c>
      <c r="P12" s="43">
        <v>14</v>
      </c>
      <c r="Q12" s="27" t="str">
        <f t="array" ref="Q12">IFERROR(INDEX($B$4:$H$27,SMALL(IF($B$4:$B$27=P$12,ROW($B$4:$B$27)-3),ROW($A$1)),3),"")</f>
        <v/>
      </c>
      <c r="R12" s="43">
        <v>15</v>
      </c>
      <c r="S12" s="25" t="str">
        <f t="array" ref="S12">IFERROR(INDEX($B$4:$H$27,SMALL(IF($B$4:$B$27=R$12,ROW($B$4:$B$27)-3),ROW($A$1)),3),"")</f>
        <v/>
      </c>
      <c r="T12" s="43">
        <v>16</v>
      </c>
      <c r="U12" s="27" t="str">
        <f t="array" ref="U12">IFERROR(INDEX($B$4:$H$27,SMALL(IF($B$4:$B$27=T$12,ROW($B$4:$B$27)-3),ROW($A$1)),3),"")</f>
        <v/>
      </c>
      <c r="V12" s="28">
        <v>17</v>
      </c>
      <c r="W12" s="29" t="str">
        <f t="array" ref="W12">IFERROR(INDEX($B$4:$H$27,SMALL(IF($B$4:$B$27=V$12,ROW($B$4:$B$27)-3),ROW($A$1)),3),"")</f>
        <v/>
      </c>
      <c r="X12" s="66"/>
    </row>
    <row r="13" spans="1:24" ht="15" customHeight="1" x14ac:dyDescent="0.25">
      <c r="A13" s="68"/>
      <c r="B13" s="105"/>
      <c r="C13" s="106"/>
      <c r="D13" s="152"/>
      <c r="E13" s="153"/>
      <c r="F13" s="153"/>
      <c r="G13" s="153"/>
      <c r="H13" s="154"/>
      <c r="I13" s="77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62"/>
      <c r="O13" s="54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/>
      <c r="C14" s="108"/>
      <c r="D14" s="152"/>
      <c r="E14" s="153"/>
      <c r="F14" s="153"/>
      <c r="G14" s="153"/>
      <c r="H14" s="154"/>
      <c r="I14" s="78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59"/>
      <c r="O14" s="54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/>
      <c r="C15" s="106"/>
      <c r="D15" s="152"/>
      <c r="E15" s="153"/>
      <c r="F15" s="153"/>
      <c r="G15" s="153"/>
      <c r="H15" s="154"/>
      <c r="I15" s="78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60"/>
      <c r="O15" s="5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/>
      <c r="C16" s="108"/>
      <c r="D16" s="152"/>
      <c r="E16" s="153"/>
      <c r="F16" s="153"/>
      <c r="G16" s="153"/>
      <c r="H16" s="154"/>
      <c r="I16" s="67"/>
      <c r="J16" s="26">
        <v>18</v>
      </c>
      <c r="K16" s="52" t="str">
        <f t="array" ref="K16">IFERROR(INDEX($B$4:$H$27,SMALL(IF($B$4:$B$27=J$16,ROW($B$4:$B$27)-3),ROW($A1)),3),"")</f>
        <v>Fim Hor. Verão</v>
      </c>
      <c r="L16" s="43">
        <v>19</v>
      </c>
      <c r="M16" s="25" t="str">
        <f t="array" ref="M16">IFERROR(INDEX($B$4:$H$27,SMALL(IF($B$4:$B$27=L$16,ROW($B$4:$B$27)-3),ROW($A1)),3),"")</f>
        <v/>
      </c>
      <c r="N16" s="43">
        <v>20</v>
      </c>
      <c r="O16" s="25" t="str">
        <f t="array" ref="O16">IFERROR(INDEX($B$4:$H$27,SMALL(IF($B$4:$B$27=N$16,ROW($B$4:$B$27)-3),ROW($A1)),3),"")</f>
        <v/>
      </c>
      <c r="P16" s="43">
        <v>21</v>
      </c>
      <c r="Q16" s="27" t="str">
        <f t="array" ref="Q16">IFERROR(INDEX($B$4:$H$27,SMALL(IF($B$4:$B$27=P$16,ROW($B$4:$B$27)-3),ROW($A1)),3),"")</f>
        <v/>
      </c>
      <c r="R16" s="43">
        <v>22</v>
      </c>
      <c r="S16" s="25" t="str">
        <f t="array" ref="S16">IFERROR(INDEX($B$4:$H$27,SMALL(IF($B$4:$B$27=R$16,ROW($B$4:$B$27)-3),ROW($A1)),3),"")</f>
        <v/>
      </c>
      <c r="T16" s="43">
        <v>23</v>
      </c>
      <c r="U16" s="27" t="str">
        <f t="array" ref="U16">IFERROR(INDEX($B$4:$H$27,SMALL(IF($B$4:$B$27=T$16,ROW($B$4:$B$27)-3),ROW($A1)),3),"")</f>
        <v/>
      </c>
      <c r="V16" s="26">
        <v>24</v>
      </c>
      <c r="W16" s="29" t="str">
        <f t="array" ref="W16">IFERROR(INDEX($B$4:$H$27,SMALL(IF($B$4:$B$27=V$16,ROW($B$4:$B$27)-3),ROW($A1)),3),"")</f>
        <v/>
      </c>
      <c r="X16" s="66"/>
    </row>
    <row r="17" spans="1:24" ht="15" customHeight="1" x14ac:dyDescent="0.25">
      <c r="A17" s="68"/>
      <c r="B17" s="107"/>
      <c r="C17" s="108"/>
      <c r="D17" s="152"/>
      <c r="E17" s="153"/>
      <c r="F17" s="153"/>
      <c r="G17" s="153"/>
      <c r="H17" s="154"/>
      <c r="I17" s="78"/>
      <c r="J17" s="59"/>
      <c r="K17" s="54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ht="15" customHeight="1" x14ac:dyDescent="0.25">
      <c r="A18" s="68"/>
      <c r="B18" s="105"/>
      <c r="C18" s="106"/>
      <c r="D18" s="152"/>
      <c r="E18" s="153"/>
      <c r="F18" s="153"/>
      <c r="G18" s="153"/>
      <c r="H18" s="154"/>
      <c r="I18" s="77"/>
      <c r="J18" s="61"/>
      <c r="K18" s="54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I19" s="77"/>
      <c r="J19" s="60"/>
      <c r="K19" s="57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7"/>
      <c r="J20" s="49">
        <v>25</v>
      </c>
      <c r="K20" s="29" t="str">
        <f t="array" ref="K20">IFERROR(INDEX($B$4:$H$27,SMALL(IF($B$4:$B$27=J$20,ROW($B$4:$B$27)-3),ROW($A1)),3),"")</f>
        <v/>
      </c>
      <c r="L20" s="28">
        <v>26</v>
      </c>
      <c r="M20" s="25" t="str">
        <f t="array" ref="M20">IFERROR(INDEX($B$4:$H$27,SMALL(IF($B$4:$B$27=L$20,ROW($B$4:$B$27)-3),ROW($A1)),3),"")</f>
        <v/>
      </c>
      <c r="N20" s="43">
        <v>27</v>
      </c>
      <c r="O20" s="25" t="str">
        <f t="array" ref="O20">IFERROR(INDEX($B$4:$H$27,SMALL(IF($B$4:$B$27=N$20,ROW($B$4:$B$27)-3),ROW($A1)),3),"")</f>
        <v/>
      </c>
      <c r="P20" s="43">
        <v>28</v>
      </c>
      <c r="Q20" s="25" t="str">
        <f t="array" ref="Q20">IFERROR(INDEX($B$4:$H$27,SMALL(IF($B$4:$B$27=P$20,ROW($B$4:$B$27)-3),ROW($A1)),3),"")</f>
        <v/>
      </c>
      <c r="R20" s="79"/>
      <c r="S20" s="80"/>
      <c r="T20" s="79"/>
      <c r="U20" s="80"/>
      <c r="V20" s="79"/>
      <c r="W20" s="80"/>
      <c r="X20" s="66"/>
    </row>
    <row r="21" spans="1:24" ht="15" customHeight="1" x14ac:dyDescent="0.25">
      <c r="A21" s="68"/>
      <c r="B21" s="107"/>
      <c r="C21" s="108"/>
      <c r="D21" s="152"/>
      <c r="E21" s="153"/>
      <c r="F21" s="153"/>
      <c r="G21" s="153"/>
      <c r="H21" s="154"/>
      <c r="I21" s="77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79"/>
      <c r="S21" s="80"/>
      <c r="T21" s="79"/>
      <c r="U21" s="80"/>
      <c r="V21" s="79"/>
      <c r="W21" s="80"/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7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33"/>
      <c r="Q22" s="31" t="str">
        <f t="array" ref="Q22">IFERROR(INDEX($B$4:$H$27,SMALL(IF($B$4:$B$27=P$20,ROW($B$4:$B$27)-3),ROW($A3)),3),"")</f>
        <v/>
      </c>
      <c r="R22" s="79"/>
      <c r="S22" s="80"/>
      <c r="T22" s="102"/>
      <c r="U22" s="80"/>
      <c r="V22" s="79"/>
      <c r="W22" s="80"/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7"/>
      <c r="J23" s="39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38"/>
      <c r="Q23" s="37" t="str">
        <f t="array" ref="Q23">IFERROR(INDEX($B$4:$H$27,SMALL(IF($B$4:$B$27=P$20,ROW($B$4:$B$27)-3),ROW($A4)),3),"")</f>
        <v/>
      </c>
      <c r="R23" s="83"/>
      <c r="S23" s="84"/>
      <c r="T23" s="81"/>
      <c r="U23" s="84"/>
      <c r="V23" s="83"/>
      <c r="W23" s="84"/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/>
    <row r="29" spans="1:24" s="66" customFormat="1" hidden="1" x14ac:dyDescent="0.25"/>
    <row r="30" spans="1:24" s="66" customFormat="1" hidden="1" x14ac:dyDescent="0.25"/>
  </sheetData>
  <sheetProtection selectLockedCells="1"/>
  <mergeCells count="47">
    <mergeCell ref="D24:H24"/>
    <mergeCell ref="D25:H25"/>
    <mergeCell ref="D26:H26"/>
    <mergeCell ref="D27:H27"/>
    <mergeCell ref="L5:M5"/>
    <mergeCell ref="L7:M7"/>
    <mergeCell ref="D22:H22"/>
    <mergeCell ref="D23:H23"/>
    <mergeCell ref="D9:H9"/>
    <mergeCell ref="D10:H10"/>
    <mergeCell ref="D11:H11"/>
    <mergeCell ref="D12:H12"/>
    <mergeCell ref="D13:H13"/>
    <mergeCell ref="D19:H19"/>
    <mergeCell ref="D20:H20"/>
    <mergeCell ref="D21:H21"/>
    <mergeCell ref="N5:O5"/>
    <mergeCell ref="P5:Q5"/>
    <mergeCell ref="L6:M6"/>
    <mergeCell ref="N6:O6"/>
    <mergeCell ref="P6:Q6"/>
    <mergeCell ref="D14:H14"/>
    <mergeCell ref="D15:H15"/>
    <mergeCell ref="D16:H16"/>
    <mergeCell ref="D17:H17"/>
    <mergeCell ref="D18:H18"/>
    <mergeCell ref="D6:H6"/>
    <mergeCell ref="D7:H7"/>
    <mergeCell ref="D8:H8"/>
    <mergeCell ref="N7:O7"/>
    <mergeCell ref="P7:Q7"/>
    <mergeCell ref="V3:W3"/>
    <mergeCell ref="J5:K5"/>
    <mergeCell ref="J7:K7"/>
    <mergeCell ref="J6:K6"/>
    <mergeCell ref="B2:H2"/>
    <mergeCell ref="D3:H3"/>
    <mergeCell ref="J2:K2"/>
    <mergeCell ref="M2:U2"/>
    <mergeCell ref="J3:K3"/>
    <mergeCell ref="L3:M3"/>
    <mergeCell ref="N3:O3"/>
    <mergeCell ref="P3:Q3"/>
    <mergeCell ref="R3:S3"/>
    <mergeCell ref="T3:U3"/>
    <mergeCell ref="D4:H4"/>
    <mergeCell ref="D5:H5"/>
  </mergeCells>
  <conditionalFormatting sqref="B4:H27">
    <cfRule type="notContainsBlanks" dxfId="26" priority="1">
      <formula>LEN(TRIM(B4))&gt;0</formula>
    </cfRule>
  </conditionalFormatting>
  <hyperlinks>
    <hyperlink ref="J2:K2" location="Janeiro!A1" display="←  Janeiro"/>
    <hyperlink ref="W2" location="Março!A1" display="Março   →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Z30"/>
  <sheetViews>
    <sheetView showGridLines="0" topLeftCell="H1" workbookViewId="0">
      <selection activeCell="D15" sqref="D15:H15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7" width="9.1406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6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44</v>
      </c>
      <c r="K2" s="176"/>
      <c r="L2" s="17"/>
      <c r="M2" s="164" t="s">
        <v>60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14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03">
        <v>30</v>
      </c>
      <c r="C4" s="104">
        <v>0</v>
      </c>
      <c r="D4" s="152" t="s">
        <v>61</v>
      </c>
      <c r="E4" s="153"/>
      <c r="F4" s="153"/>
      <c r="G4" s="153"/>
      <c r="H4" s="154"/>
      <c r="I4" s="70"/>
      <c r="J4" s="79"/>
      <c r="K4" s="80"/>
      <c r="L4" s="79"/>
      <c r="M4" s="80"/>
      <c r="N4" s="79"/>
      <c r="O4" s="100"/>
      <c r="P4" s="101"/>
      <c r="Q4" s="100"/>
      <c r="R4" s="26">
        <v>1</v>
      </c>
      <c r="S4" s="27" t="str">
        <f t="array" ref="S4">IFERROR(INDEX($B$4:$H$27,SMALL(IF($B$4:$B$27=R$4,ROW($B$4:$B$27)-3),ROW($A1)),3),"")</f>
        <v/>
      </c>
      <c r="T4" s="26">
        <v>2</v>
      </c>
      <c r="U4" s="27" t="str">
        <f t="array" ref="U4">IFERROR(INDEX($B$4:$H$27,SMALL(IF($B$4:$B$27=T$4,ROW($B$4:$B$27)-3),ROW($A1)),3),"")</f>
        <v/>
      </c>
      <c r="V4" s="26">
        <v>3</v>
      </c>
      <c r="W4" s="29" t="str">
        <f t="array" ref="W4">IFERROR(INDEX($B$4:$H$27,SMALL(IF($B$4:$B$27=V$4,ROW($B$4:$B$27)-3),ROW($A1)),3),"")</f>
        <v/>
      </c>
      <c r="X4" s="66"/>
    </row>
    <row r="5" spans="1:24" x14ac:dyDescent="0.25">
      <c r="A5" s="138">
        <v>3</v>
      </c>
      <c r="B5" s="103">
        <v>22</v>
      </c>
      <c r="C5" s="104">
        <v>0.66666666666666663</v>
      </c>
      <c r="D5" s="152" t="s">
        <v>113</v>
      </c>
      <c r="E5" s="153"/>
      <c r="F5" s="153"/>
      <c r="G5" s="153"/>
      <c r="H5" s="154"/>
      <c r="I5" s="70"/>
      <c r="J5" s="168"/>
      <c r="K5" s="169"/>
      <c r="L5" s="168"/>
      <c r="M5" s="169"/>
      <c r="N5" s="168"/>
      <c r="O5" s="169"/>
      <c r="P5" s="168"/>
      <c r="Q5" s="169"/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18">
        <v>29</v>
      </c>
      <c r="C6" s="146">
        <v>0.66666666666666663</v>
      </c>
      <c r="D6" s="152" t="s">
        <v>113</v>
      </c>
      <c r="E6" s="153"/>
      <c r="F6" s="153"/>
      <c r="G6" s="153"/>
      <c r="H6" s="154"/>
      <c r="I6" s="70"/>
      <c r="J6" s="170"/>
      <c r="K6" s="169"/>
      <c r="L6" s="170"/>
      <c r="M6" s="169"/>
      <c r="N6" s="170"/>
      <c r="O6" s="169"/>
      <c r="P6" s="170"/>
      <c r="Q6" s="169"/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3">
        <v>28</v>
      </c>
      <c r="C7" s="120"/>
      <c r="D7" s="152" t="s">
        <v>118</v>
      </c>
      <c r="E7" s="153"/>
      <c r="F7" s="153"/>
      <c r="G7" s="153"/>
      <c r="H7" s="154"/>
      <c r="I7" s="70"/>
      <c r="J7" s="171"/>
      <c r="K7" s="172"/>
      <c r="L7" s="171"/>
      <c r="M7" s="172"/>
      <c r="N7" s="171"/>
      <c r="O7" s="172"/>
      <c r="P7" s="171"/>
      <c r="Q7" s="172"/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3">
        <v>21</v>
      </c>
      <c r="C8" s="120"/>
      <c r="D8" s="152" t="s">
        <v>123</v>
      </c>
      <c r="E8" s="153"/>
      <c r="F8" s="153"/>
      <c r="G8" s="153"/>
      <c r="H8" s="154"/>
      <c r="I8" s="70"/>
      <c r="J8" s="41">
        <v>4</v>
      </c>
      <c r="K8" s="42" t="str">
        <f t="array" ref="K8">IFERROR(INDEX($B$4:$H$27,SMALL(IF($B$4:$B$27=J$8,ROW($B$4:$B$27)-3),ROW($A1)),3),"")</f>
        <v/>
      </c>
      <c r="L8" s="43">
        <v>5</v>
      </c>
      <c r="M8" s="25" t="str">
        <f t="array" ref="M8">IFERROR(INDEX($B$4:$H$27,SMALL(IF($B$4:$B$27=L$8,ROW($B$4:$B$27)-3),ROW($A1)),3),"")</f>
        <v/>
      </c>
      <c r="N8" s="43">
        <v>6</v>
      </c>
      <c r="O8" s="25" t="str">
        <f t="array" ref="O8">IFERROR(INDEX($B$4:$H$27,SMALL(IF($B$4:$B$27=N$8,ROW($B$4:$B$27)-3),ROW($A1)),3),"")</f>
        <v/>
      </c>
      <c r="P8" s="43">
        <v>7</v>
      </c>
      <c r="Q8" s="25" t="str">
        <f t="array" ref="Q8">IFERROR(INDEX($B$4:$H$27,SMALL(IF($B$4:$B$27=P$8,ROW($B$4:$B$27)-3),ROW($A1)),3),"")</f>
        <v/>
      </c>
      <c r="R8" s="43">
        <v>8</v>
      </c>
      <c r="S8" s="25" t="str">
        <f t="array" ref="S8">IFERROR(INDEX($B$4:$H$27,SMALL(IF($B$4:$B$27=R$8,ROW($B$4:$B$27)-3),ROW($A1)),3),"")</f>
        <v/>
      </c>
      <c r="T8" s="43">
        <v>9</v>
      </c>
      <c r="U8" s="25" t="str">
        <f t="array" ref="U8">IFERROR(INDEX($B$4:$H$27,SMALL(IF($B$4:$B$27=T$8,ROW($B$4:$B$27)-3),ROW($A1)),3),"")</f>
        <v/>
      </c>
      <c r="V8" s="43">
        <v>10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3">
        <v>21</v>
      </c>
      <c r="C9" s="120"/>
      <c r="D9" s="152" t="s">
        <v>122</v>
      </c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3">
        <v>20</v>
      </c>
      <c r="C10" s="120"/>
      <c r="D10" s="152" t="s">
        <v>129</v>
      </c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18">
        <v>20</v>
      </c>
      <c r="C11" s="119"/>
      <c r="D11" s="152" t="s">
        <v>130</v>
      </c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x14ac:dyDescent="0.25">
      <c r="A12" s="68"/>
      <c r="B12" s="103"/>
      <c r="C12" s="104"/>
      <c r="D12" s="152"/>
      <c r="E12" s="153"/>
      <c r="F12" s="153"/>
      <c r="G12" s="153"/>
      <c r="H12" s="154"/>
      <c r="I12" s="70"/>
      <c r="J12" s="26">
        <v>11</v>
      </c>
      <c r="K12" s="29" t="str">
        <f t="array" ref="K12">IFERROR(INDEX($B$4:$H$27,SMALL(IF($B$4:$B$27=J$12,ROW($B$4:$B$27)-3),ROW($A$1)),3),"")</f>
        <v/>
      </c>
      <c r="L12" s="43">
        <v>12</v>
      </c>
      <c r="M12" s="25" t="str">
        <f t="array" ref="M12">IFERROR(INDEX($B$4:$H$27,SMALL(IF($B$4:$B$27=L$12,ROW($B$4:$B$27)-3),ROW($A$1)),3),"")</f>
        <v/>
      </c>
      <c r="N12" s="43">
        <v>13</v>
      </c>
      <c r="O12" s="25" t="str">
        <f t="array" ref="O12">IFERROR(INDEX($B$4:$H$27,SMALL(IF($B$4:$B$27=N$12,ROW($B$4:$B$27)-3),ROW($A$1)),3),"")</f>
        <v/>
      </c>
      <c r="P12" s="43">
        <v>14</v>
      </c>
      <c r="Q12" s="27" t="str">
        <f t="array" ref="Q12">IFERROR(INDEX($B$4:$H$27,SMALL(IF($B$4:$B$27=P$12,ROW($B$4:$B$27)-3),ROW($A$1)),3),"")</f>
        <v/>
      </c>
      <c r="R12" s="43">
        <v>15</v>
      </c>
      <c r="S12" s="25" t="str">
        <f t="array" ref="S12">IFERROR(INDEX($B$4:$H$27,SMALL(IF($B$4:$B$27=R$12,ROW($B$4:$B$27)-3),ROW($A$1)),3),"")</f>
        <v/>
      </c>
      <c r="T12" s="43">
        <v>16</v>
      </c>
      <c r="U12" s="27" t="str">
        <f t="array" ref="U12">IFERROR(INDEX($B$4:$H$27,SMALL(IF($B$4:$B$27=T$12,ROW($B$4:$B$27)-3),ROW($A$1)),3),"")</f>
        <v/>
      </c>
      <c r="V12" s="28">
        <v>17</v>
      </c>
      <c r="W12" s="29" t="str">
        <f t="array" ref="W12">IFERROR(INDEX($B$4:$H$27,SMALL(IF($B$4:$B$27=V$12,ROW($B$4:$B$27)-3),ROW($A$1)),3),"")</f>
        <v/>
      </c>
      <c r="X12" s="66"/>
    </row>
    <row r="13" spans="1:24" x14ac:dyDescent="0.25">
      <c r="A13" s="68"/>
      <c r="B13" s="118"/>
      <c r="C13" s="119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3"/>
      <c r="C14" s="120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18"/>
      <c r="C15" s="119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ht="39" x14ac:dyDescent="0.25">
      <c r="A16" s="68"/>
      <c r="B16" s="103"/>
      <c r="C16" s="120"/>
      <c r="D16" s="152"/>
      <c r="E16" s="153"/>
      <c r="F16" s="153"/>
      <c r="G16" s="153"/>
      <c r="H16" s="154"/>
      <c r="J16" s="26">
        <v>18</v>
      </c>
      <c r="K16" s="29" t="str">
        <f t="array" ref="K16">IFERROR(INDEX($B$4:$H$27,SMALL(IF($B$4:$B$27=J$16,ROW($B$4:$B$27)-3),ROW($A1)),3),"")</f>
        <v/>
      </c>
      <c r="L16" s="43">
        <v>19</v>
      </c>
      <c r="M16" s="25" t="str">
        <f t="array" ref="M16">IFERROR(INDEX($B$4:$H$27,SMALL(IF($B$4:$B$27=L$16,ROW($B$4:$B$27)-3),ROW($A1)),3),"")</f>
        <v/>
      </c>
      <c r="N16" s="43">
        <v>20</v>
      </c>
      <c r="O16" s="58" t="str">
        <f t="array" ref="O16">IFERROR(INDEX($B$4:$H$27,SMALL(IF($B$4:$B$27=N$16,ROW($B$4:$B$27)-3),ROW($A1)),3),"")</f>
        <v>BAIXAR SOFTWARE DE TCE3,IA E CORNOGRAMA</v>
      </c>
      <c r="P16" s="43">
        <v>21</v>
      </c>
      <c r="Q16" s="52" t="str">
        <f t="array" ref="Q16">IFERROR(INDEX($B$4:$H$27,SMALL(IF($B$4:$B$27=P$16,ROW($B$4:$B$27)-3),ROW($A1)),3),"")</f>
        <v xml:space="preserve">PESQ. EXPER SINTA </v>
      </c>
      <c r="R16" s="43">
        <v>22</v>
      </c>
      <c r="S16" s="58" t="str">
        <f t="array" ref="S16">IFERROR(INDEX($B$4:$H$27,SMALL(IF($B$4:$B$27=R$16,ROW($B$4:$B$27)-3),ROW($A1)),3),"")</f>
        <v>PRE-REL. PCE3</v>
      </c>
      <c r="T16" s="43">
        <v>23</v>
      </c>
      <c r="U16" s="27" t="str">
        <f t="array" ref="U16">IFERROR(INDEX($B$4:$H$27,SMALL(IF($B$4:$B$27=T$16,ROW($B$4:$B$27)-3),ROW($A1)),3),"")</f>
        <v/>
      </c>
      <c r="V16" s="26">
        <v>24</v>
      </c>
      <c r="W16" s="29" t="str">
        <f t="array" ref="W16">IFERROR(INDEX($B$4:$H$27,SMALL(IF($B$4:$B$27=V$16,ROW($B$4:$B$27)-3),ROW($A1)),3),"")</f>
        <v/>
      </c>
      <c r="X16" s="66"/>
    </row>
    <row r="17" spans="1:24" ht="26.25" x14ac:dyDescent="0.25">
      <c r="A17" s="68"/>
      <c r="B17" s="103"/>
      <c r="C17" s="120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62"/>
      <c r="O17" s="54" t="str">
        <f t="array" ref="O17">IFERROR(INDEX($B$4:$H$27,SMALL(IF($B$4:$B$27=N$16,ROW($B$4:$B$27)-3),ROW($A2)),3),"")</f>
        <v>CB E EX.EMBARCADOS</v>
      </c>
      <c r="P17" s="62"/>
      <c r="Q17" s="54" t="str">
        <f t="array" ref="Q17">IFERROR(INDEX($B$4:$H$27,SMALL(IF($B$4:$B$27=P$16,ROW($B$4:$B$27)-3),ROW($A2)),3),"")</f>
        <v>START T1 (IA)</v>
      </c>
      <c r="R17" s="53"/>
      <c r="S17" s="54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18"/>
      <c r="C18" s="119"/>
      <c r="D18" s="152"/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59"/>
      <c r="O18" s="54" t="str">
        <f t="array" ref="O18">IFERROR(INDEX($B$4:$H$27,SMALL(IF($B$4:$B$27=N$16,ROW($B$4:$B$27)-3),ROW($A3)),3),"")</f>
        <v/>
      </c>
      <c r="P18" s="59"/>
      <c r="Q18" s="54" t="str">
        <f t="array" ref="Q18">IFERROR(INDEX($B$4:$H$27,SMALL(IF($B$4:$B$27=P$16,ROW($B$4:$B$27)-3),ROW($A3)),3),"")</f>
        <v/>
      </c>
      <c r="R18" s="55"/>
      <c r="S18" s="54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3"/>
      <c r="C19" s="120"/>
      <c r="D19" s="152"/>
      <c r="E19" s="153"/>
      <c r="F19" s="153"/>
      <c r="G19" s="153"/>
      <c r="H19" s="154"/>
      <c r="J19" s="47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60"/>
      <c r="O19" s="57" t="str">
        <f t="array" ref="O19">IFERROR(INDEX($B$4:$H$27,SMALL(IF($B$4:$B$27=N$16,ROW($B$4:$B$27)-3),ROW($A4)),3),"")</f>
        <v/>
      </c>
      <c r="P19" s="60"/>
      <c r="Q19" s="57" t="str">
        <f t="array" ref="Q19">IFERROR(INDEX($B$4:$H$27,SMALL(IF($B$4:$B$27=P$16,ROW($B$4:$B$27)-3),ROW($A4)),3),"")</f>
        <v/>
      </c>
      <c r="R19" s="56"/>
      <c r="S19" s="5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ht="15" customHeight="1" x14ac:dyDescent="0.25">
      <c r="A20" s="68"/>
      <c r="B20" s="118"/>
      <c r="C20" s="119"/>
      <c r="D20" s="152"/>
      <c r="E20" s="153"/>
      <c r="F20" s="153"/>
      <c r="G20" s="153"/>
      <c r="H20" s="154"/>
      <c r="I20" s="70"/>
      <c r="J20" s="49">
        <v>25</v>
      </c>
      <c r="K20" s="29" t="str">
        <f t="array" ref="K20">IFERROR(INDEX($B$4:$H$27,SMALL(IF($B$4:$B$27=J$20,ROW($B$4:$B$27)-3),ROW($A1)),3),"")</f>
        <v/>
      </c>
      <c r="L20" s="28">
        <v>26</v>
      </c>
      <c r="M20" s="25" t="str">
        <f t="array" ref="M20">IFERROR(INDEX($B$4:$H$27,SMALL(IF($B$4:$B$27=L$20,ROW($B$4:$B$27)-3),ROW($A1)),3),"")</f>
        <v/>
      </c>
      <c r="N20" s="43">
        <v>27</v>
      </c>
      <c r="O20" s="25" t="str">
        <f t="array" ref="O20">IFERROR(INDEX($B$4:$H$27,SMALL(IF($B$4:$B$27=N$20,ROW($B$4:$B$27)-3),ROW($A1)),3),"")</f>
        <v/>
      </c>
      <c r="P20" s="43">
        <v>28</v>
      </c>
      <c r="Q20" s="58" t="str">
        <f t="array" ref="Q20">IFERROR(INDEX($B$4:$H$27,SMALL(IF($B$4:$B$27=P$20,ROW($B$4:$B$27)-3),ROW($A1)),3),"")</f>
        <v>REL. PCE3</v>
      </c>
      <c r="R20" s="28">
        <v>29</v>
      </c>
      <c r="S20" s="58" t="str">
        <f t="array" ref="S20">IFERROR(INDEX($B$4:$H$27,SMALL(IF($B$4:$B$27=R$20,ROW($B$4:$B$27)-3),ROW($A1)),3),"")</f>
        <v>PRE-REL. PCE3</v>
      </c>
      <c r="T20" s="43">
        <v>30</v>
      </c>
      <c r="U20" s="58" t="str">
        <f t="array" ref="U20">IFERROR(INDEX($B$4:$H$27,SMALL(IF($B$4:$B$27=T$20,ROW($B$4:$B$27)-3),ROW($A1)),3),"")</f>
        <v>Sexta-feira santa</v>
      </c>
      <c r="V20" s="26">
        <v>31</v>
      </c>
      <c r="W20" s="29" t="str">
        <f t="array" ref="W20">IFERROR(INDEX($B$4:$H$27,SMALL(IF($B$4:$B$27=V$20,ROW($B$4:$B$27)-3),ROW($A1)),3),"")</f>
        <v/>
      </c>
      <c r="X20" s="66"/>
    </row>
    <row r="21" spans="1:24" ht="15" customHeight="1" x14ac:dyDescent="0.25">
      <c r="A21" s="68"/>
      <c r="B21" s="103"/>
      <c r="C21" s="120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62"/>
      <c r="Q21" s="54" t="str">
        <f t="array" ref="Q21">IFERROR(INDEX($B$4:$H$27,SMALL(IF($B$4:$B$27=P$20,ROW($B$4:$B$27)-3),ROW($A2)),3),"")</f>
        <v/>
      </c>
      <c r="R21" s="53"/>
      <c r="S21" s="54" t="str">
        <f t="array" ref="S21">IFERROR(INDEX($B$4:$H$27,SMALL(IF($B$4:$B$27=R$20,ROW($B$4:$B$27)-3),ROW($A2)),3),"")</f>
        <v/>
      </c>
      <c r="T21" s="62"/>
      <c r="U21" s="54" t="str">
        <f t="array" ref="U21">IFERROR(INDEX($B$4:$H$27,SMALL(IF($B$4:$B$27=T$20,ROW($B$4:$B$27)-3),ROW($A2)),3),"")</f>
        <v/>
      </c>
      <c r="V21" s="34"/>
      <c r="W21" s="35" t="str">
        <f t="array" ref="W21">IFERROR(INDEX($B$4:$H$27,SMALL(IF($B$4:$B$27=V$20,ROW($B$4:$B$27)-3),ROW($A2)),3),"")</f>
        <v/>
      </c>
      <c r="X21" s="66"/>
    </row>
    <row r="22" spans="1:24" x14ac:dyDescent="0.25">
      <c r="A22" s="68"/>
      <c r="B22" s="103"/>
      <c r="C22" s="120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59"/>
      <c r="Q22" s="54" t="str">
        <f t="array" ref="Q22">IFERROR(INDEX($B$4:$H$27,SMALL(IF($B$4:$B$27=P$20,ROW($B$4:$B$27)-3),ROW($A3)),3),"")</f>
        <v/>
      </c>
      <c r="R22" s="59"/>
      <c r="S22" s="54" t="str">
        <f t="array" ref="S22">IFERROR(INDEX($B$4:$H$27,SMALL(IF($B$4:$B$27=R$20,ROW($B$4:$B$27)-3),ROW($A3)),3),"")</f>
        <v/>
      </c>
      <c r="T22" s="59"/>
      <c r="U22" s="54" t="str">
        <f t="array" ref="U22">IFERROR(INDEX($B$4:$H$27,SMALL(IF($B$4:$B$27=T$20,ROW($B$4:$B$27)-3),ROW($A3)),3),"")</f>
        <v/>
      </c>
      <c r="V22" s="34"/>
      <c r="W22" s="35" t="str">
        <f t="array" ref="W22">IFERROR(INDEX($B$4:$H$27,SMALL(IF($B$4:$B$27=V$20,ROW($B$4:$B$27)-3),ROW($A3)),3),"")</f>
        <v/>
      </c>
      <c r="X22" s="66"/>
    </row>
    <row r="23" spans="1:24" x14ac:dyDescent="0.25">
      <c r="A23" s="68"/>
      <c r="B23" s="121"/>
      <c r="C23" s="122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60"/>
      <c r="Q23" s="57" t="str">
        <f t="array" ref="Q23">IFERROR(INDEX($B$4:$H$27,SMALL(IF($B$4:$B$27=P$20,ROW($B$4:$B$27)-3),ROW($A4)),3),"")</f>
        <v/>
      </c>
      <c r="R23" s="60"/>
      <c r="S23" s="57" t="str">
        <f t="array" ref="S23">IFERROR(INDEX($B$4:$H$27,SMALL(IF($B$4:$B$27=R$20,ROW($B$4:$B$27)-3),ROW($A4)),3),"")</f>
        <v/>
      </c>
      <c r="T23" s="60"/>
      <c r="U23" s="57" t="str">
        <f t="array" ref="U23">IFERROR(INDEX($B$4:$H$27,SMALL(IF($B$4:$B$27=T$20,ROW($B$4:$B$27)-3),ROW($A4)),3),"")</f>
        <v/>
      </c>
      <c r="V23" s="39"/>
      <c r="W23" s="40" t="str">
        <f t="array" ref="W23">IFERROR(INDEX($B$4:$H$27,SMALL(IF($B$4:$B$27=V$20,ROW($B$4:$B$27)-3),ROW($A4)),3),"")</f>
        <v/>
      </c>
      <c r="X23" s="66"/>
    </row>
    <row r="24" spans="1:24" x14ac:dyDescent="0.25">
      <c r="B24" s="123"/>
      <c r="C24" s="124"/>
      <c r="D24" s="177"/>
      <c r="E24" s="178"/>
      <c r="F24" s="178"/>
      <c r="G24" s="178"/>
      <c r="H24" s="179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x14ac:dyDescent="0.25">
      <c r="B25" s="124"/>
      <c r="C25" s="124"/>
      <c r="D25" s="177"/>
      <c r="E25" s="178"/>
      <c r="F25" s="178"/>
      <c r="G25" s="178"/>
      <c r="H25" s="179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B26" s="124"/>
      <c r="C26" s="124"/>
      <c r="D26" s="177"/>
      <c r="E26" s="178"/>
      <c r="F26" s="178"/>
      <c r="G26" s="178"/>
      <c r="H26" s="179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B27" s="124"/>
      <c r="C27" s="124"/>
      <c r="D27" s="177"/>
      <c r="E27" s="178"/>
      <c r="F27" s="178"/>
      <c r="G27" s="178"/>
      <c r="H27" s="179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>
      <c r="H28" s="68"/>
    </row>
    <row r="29" spans="1:24" s="66" customFormat="1" hidden="1" x14ac:dyDescent="0.25"/>
    <row r="30" spans="1:24" s="66" customFormat="1" hidden="1" x14ac:dyDescent="0.25"/>
  </sheetData>
  <sheetProtection algorithmName="SHA-512" hashValue="tYZ0WexJkLU6asbDzL0JEHJz7CDJB3BnGZOuxqRkUjOfamO6WruyXymUhzr0XuJsEBQ0BenLtH82nyebpJ0/fw==" saltValue="c8AUujxuSatmjz2X8B9YSA==" spinCount="100000" sheet="1" objects="1" scenarios="1" selectLockedCells="1"/>
  <mergeCells count="47">
    <mergeCell ref="D16:H16"/>
    <mergeCell ref="D24:H24"/>
    <mergeCell ref="D25:H25"/>
    <mergeCell ref="D26:H26"/>
    <mergeCell ref="D27:H27"/>
    <mergeCell ref="D21:H21"/>
    <mergeCell ref="D22:H22"/>
    <mergeCell ref="D23:H23"/>
    <mergeCell ref="D17:H17"/>
    <mergeCell ref="D18:H18"/>
    <mergeCell ref="D19:H19"/>
    <mergeCell ref="D20:H20"/>
    <mergeCell ref="D14:H14"/>
    <mergeCell ref="D15:H15"/>
    <mergeCell ref="B2:H2"/>
    <mergeCell ref="D3:H3"/>
    <mergeCell ref="J2:K2"/>
    <mergeCell ref="J7:K7"/>
    <mergeCell ref="D9:H9"/>
    <mergeCell ref="D10:H10"/>
    <mergeCell ref="D11:H11"/>
    <mergeCell ref="D12:H12"/>
    <mergeCell ref="D13:H13"/>
    <mergeCell ref="D4:H4"/>
    <mergeCell ref="D5:H5"/>
    <mergeCell ref="D6:H6"/>
    <mergeCell ref="D7:H7"/>
    <mergeCell ref="D8:H8"/>
    <mergeCell ref="M2:U2"/>
    <mergeCell ref="J3:K3"/>
    <mergeCell ref="L3:M3"/>
    <mergeCell ref="N3:O3"/>
    <mergeCell ref="P3:Q3"/>
    <mergeCell ref="R3:S3"/>
    <mergeCell ref="T3:U3"/>
    <mergeCell ref="V3:W3"/>
    <mergeCell ref="J5:K5"/>
    <mergeCell ref="L5:M5"/>
    <mergeCell ref="N5:O5"/>
    <mergeCell ref="P5:Q5"/>
    <mergeCell ref="L7:M7"/>
    <mergeCell ref="N7:O7"/>
    <mergeCell ref="P7:Q7"/>
    <mergeCell ref="J6:K6"/>
    <mergeCell ref="L6:M6"/>
    <mergeCell ref="N6:O6"/>
    <mergeCell ref="P6:Q6"/>
  </mergeCells>
  <conditionalFormatting sqref="B4:H27">
    <cfRule type="notContainsBlanks" dxfId="25" priority="1">
      <formula>LEN(TRIM(B4))&gt;0</formula>
    </cfRule>
  </conditionalFormatting>
  <hyperlinks>
    <hyperlink ref="J2:K2" location="Fevereiro!A1" display="←  Fevereiro"/>
    <hyperlink ref="W2" location="Abril!A1" display="Abril →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Z30"/>
  <sheetViews>
    <sheetView showGridLines="0" topLeftCell="E1" zoomScale="91" zoomScaleNormal="91" workbookViewId="0">
      <selection activeCell="B17" sqref="B17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7" width="9.1406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3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6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15</v>
      </c>
      <c r="K2" s="176"/>
      <c r="L2" s="17"/>
      <c r="M2" s="164" t="s">
        <v>62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16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03">
        <v>1</v>
      </c>
      <c r="C4" s="104">
        <v>0</v>
      </c>
      <c r="D4" s="152" t="s">
        <v>93</v>
      </c>
      <c r="E4" s="153"/>
      <c r="F4" s="153"/>
      <c r="G4" s="153"/>
      <c r="H4" s="154"/>
      <c r="I4" s="70"/>
      <c r="J4" s="50">
        <v>1</v>
      </c>
      <c r="K4" s="52" t="str">
        <f t="array" ref="K4">IFERROR(INDEX($B$4:$H$27,SMALL(IF($B$4:$B$27=J$4,ROW($B$4:$B$27)-3),ROW($A1)),3),"")</f>
        <v>Páscoa</v>
      </c>
      <c r="L4" s="26">
        <v>2</v>
      </c>
      <c r="M4" s="52" t="str">
        <f t="array" ref="M4">IFERROR(INDEX($B$4:$H$27,SMALL(IF($B$4:$B$27=L$4,ROW($B$4:$B$27)-3),ROW($A1)),3),"")</f>
        <v>P1 TCE3</v>
      </c>
      <c r="N4" s="26">
        <v>3</v>
      </c>
      <c r="O4" s="27" t="str">
        <f t="array" ref="O4">IFERROR(INDEX($B$4:$H$27,SMALL(IF($B$4:$B$27=N$4,ROW($B$4:$B$27)-3),ROW($A1)),3),"")</f>
        <v/>
      </c>
      <c r="P4" s="28">
        <v>4</v>
      </c>
      <c r="Q4" s="52" t="str">
        <f t="array" ref="Q4">IFERROR(INDEX($B$4:$H$27,SMALL(IF($B$4:$B$27=P$4,ROW($B$4:$B$27)-3),ROW($A1)),3),"")</f>
        <v>PC1 EMBARCADOS</v>
      </c>
      <c r="R4" s="26">
        <v>5</v>
      </c>
      <c r="S4" s="27" t="str">
        <f t="array" ref="S4">IFERROR(INDEX($B$4:$H$27,SMALL(IF($B$4:$B$27=R$4,ROW($B$4:$B$27)-3),ROW($A1)),3),"")</f>
        <v/>
      </c>
      <c r="T4" s="26">
        <v>6</v>
      </c>
      <c r="U4" s="27" t="str">
        <f t="array" ref="U4">IFERROR(INDEX($B$4:$H$27,SMALL(IF($B$4:$B$27=T$4,ROW($B$4:$B$27)-3),ROW($A1)),3),"")</f>
        <v/>
      </c>
      <c r="V4" s="26">
        <v>7</v>
      </c>
      <c r="W4" s="29" t="str">
        <f t="array" ref="W4">IFERROR(INDEX($B$4:$H$27,SMALL(IF($B$4:$B$27=V$4,ROW($B$4:$B$27)-3),ROW($A1)),3),"")</f>
        <v/>
      </c>
      <c r="X4" s="66"/>
    </row>
    <row r="5" spans="1:24" ht="15" customHeight="1" x14ac:dyDescent="0.25">
      <c r="A5" s="138">
        <v>4</v>
      </c>
      <c r="B5" s="103">
        <v>21</v>
      </c>
      <c r="C5" s="104">
        <v>0</v>
      </c>
      <c r="D5" s="152" t="s">
        <v>17</v>
      </c>
      <c r="E5" s="153"/>
      <c r="F5" s="153"/>
      <c r="G5" s="153"/>
      <c r="H5" s="154"/>
      <c r="I5" s="70"/>
      <c r="J5" s="53"/>
      <c r="K5" s="54" t="str">
        <f t="array" ref="K5">IFERROR(INDEX($B$4:$H$27,SMALL(IF($B$4:$B$27=J$4,ROW($B$4:$B$27)-3),ROW($A2)),3),"")</f>
        <v/>
      </c>
      <c r="L5" s="53"/>
      <c r="M5" s="54" t="str">
        <f t="array" ref="M5">IFERROR(INDEX($B$4:$H$27,SMALL(IF($B$4:$B$27=L$4,ROW($B$4:$B$27)-3),ROW($A2)),3),"")</f>
        <v/>
      </c>
      <c r="N5" s="32"/>
      <c r="O5" s="31" t="str">
        <f t="array" ref="O5">IFERROR(INDEX($B$4:$H$27,SMALL(IF($B$4:$B$27=N$4,ROW($B$4:$B$27)-3),ROW($A2)),3),"")</f>
        <v/>
      </c>
      <c r="P5" s="53"/>
      <c r="Q5" s="54" t="str">
        <f t="array" ref="Q5">IFERROR(INDEX($B$4:$H$27,SMALL(IF($B$4:$B$27=P$4,ROW($B$4:$B$27)-3),ROW($A2)),3),"")</f>
        <v/>
      </c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05">
        <v>2</v>
      </c>
      <c r="C6" s="113">
        <v>0.66666666666666663</v>
      </c>
      <c r="D6" s="152" t="s">
        <v>121</v>
      </c>
      <c r="E6" s="153"/>
      <c r="F6" s="153"/>
      <c r="G6" s="153"/>
      <c r="H6" s="154"/>
      <c r="I6" s="70"/>
      <c r="J6" s="55"/>
      <c r="K6" s="54" t="str">
        <f t="array" ref="K6">IFERROR(INDEX($B$4:$H$27,SMALL(IF($B$4:$B$27=J$4,ROW($B$4:$B$27)-3),ROW($A3)),3),"")</f>
        <v/>
      </c>
      <c r="L6" s="55"/>
      <c r="M6" s="54" t="str">
        <f t="array" ref="M6">IFERROR(INDEX($B$4:$H$27,SMALL(IF($B$4:$B$27=L$4,ROW($B$4:$B$27)-3),ROW($A3)),3),"")</f>
        <v/>
      </c>
      <c r="N6" s="32"/>
      <c r="O6" s="31" t="str">
        <f t="array" ref="O6">IFERROR(INDEX($B$4:$H$27,SMALL(IF($B$4:$B$27=N$4,ROW($B$4:$B$27)-3),ROW($A3)),3),"")</f>
        <v/>
      </c>
      <c r="P6" s="59"/>
      <c r="Q6" s="54" t="str">
        <f t="array" ref="Q6">IFERROR(INDEX($B$4:$H$27,SMALL(IF($B$4:$B$27=P$4,ROW($B$4:$B$27)-3),ROW($A3)),3),"")</f>
        <v/>
      </c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7">
        <v>4</v>
      </c>
      <c r="C7" s="145">
        <v>0.66666666666666663</v>
      </c>
      <c r="D7" s="152" t="s">
        <v>99</v>
      </c>
      <c r="E7" s="153"/>
      <c r="F7" s="153"/>
      <c r="G7" s="153"/>
      <c r="H7" s="154"/>
      <c r="I7" s="70"/>
      <c r="J7" s="56"/>
      <c r="K7" s="57" t="str">
        <f t="array" ref="K7">IFERROR(INDEX($B$4:$H$27,SMALL(IF($B$4:$B$27=J$4,ROW($B$4:$B$27)-3),ROW($A4)),3),"")</f>
        <v/>
      </c>
      <c r="L7" s="56"/>
      <c r="M7" s="57" t="str">
        <f t="array" ref="M7">IFERROR(INDEX($B$4:$H$27,SMALL(IF($B$4:$B$27=L$4,ROW($B$4:$B$27)-3),ROW($A4)),3),"")</f>
        <v/>
      </c>
      <c r="N7" s="38"/>
      <c r="O7" s="37" t="str">
        <f t="array" ref="O7">IFERROR(INDEX($B$4:$H$27,SMALL(IF($B$4:$B$27=N$4,ROW($B$4:$B$27)-3),ROW($A4)),3),"")</f>
        <v/>
      </c>
      <c r="P7" s="60"/>
      <c r="Q7" s="57" t="str">
        <f t="array" ref="Q7">IFERROR(INDEX($B$4:$H$27,SMALL(IF($B$4:$B$27=P$4,ROW($B$4:$B$27)-3),ROW($A4)),3),"")</f>
        <v/>
      </c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7">
        <v>17</v>
      </c>
      <c r="C8" s="145">
        <v>0.58333333333333337</v>
      </c>
      <c r="D8" s="152" t="s">
        <v>100</v>
      </c>
      <c r="E8" s="153"/>
      <c r="F8" s="153"/>
      <c r="G8" s="153"/>
      <c r="H8" s="154"/>
      <c r="I8" s="70"/>
      <c r="J8" s="41">
        <v>8</v>
      </c>
      <c r="K8" s="42" t="str">
        <f t="array" ref="K8">IFERROR(INDEX($B$4:$H$27,SMALL(IF($B$4:$B$27=J$8,ROW($B$4:$B$27)-3),ROW($A1)),3),"")</f>
        <v/>
      </c>
      <c r="L8" s="43">
        <v>9</v>
      </c>
      <c r="M8" s="25" t="str">
        <f t="array" ref="M8">IFERROR(INDEX($B$4:$H$27,SMALL(IF($B$4:$B$27=L$8,ROW($B$4:$B$27)-3),ROW($A1)),3),"")</f>
        <v/>
      </c>
      <c r="N8" s="43">
        <v>10</v>
      </c>
      <c r="O8" s="25" t="str">
        <f t="array" ref="O8">IFERROR(INDEX($B$4:$H$27,SMALL(IF($B$4:$B$27=N$8,ROW($B$4:$B$27)-3),ROW($A1)),3),"")</f>
        <v/>
      </c>
      <c r="P8" s="43">
        <v>11</v>
      </c>
      <c r="Q8" s="58" t="str">
        <f t="array" ref="Q8">IFERROR(INDEX($B$4:$H$27,SMALL(IF($B$4:$B$27=P$8,ROW($B$4:$B$27)-3),ROW($A1)),3),"")</f>
        <v>REL. PCE3</v>
      </c>
      <c r="R8" s="43">
        <v>12</v>
      </c>
      <c r="S8" s="25" t="str">
        <f t="array" ref="S8">IFERROR(INDEX($B$4:$H$27,SMALL(IF($B$4:$B$27=R$8,ROW($B$4:$B$27)-3),ROW($A1)),3),"")</f>
        <v/>
      </c>
      <c r="T8" s="43">
        <v>13</v>
      </c>
      <c r="U8" s="58" t="str">
        <f t="array" ref="U8">IFERROR(INDEX($B$4:$H$27,SMALL(IF($B$4:$B$27=T$8,ROW($B$4:$B$27)-3),ROW($A1)),3),"")</f>
        <v>LAB. FTRANS</v>
      </c>
      <c r="V8" s="43">
        <v>14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>
        <v>18</v>
      </c>
      <c r="C9" s="145">
        <v>0.66666666666666663</v>
      </c>
      <c r="D9" s="152" t="s">
        <v>101</v>
      </c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62"/>
      <c r="Q9" s="54" t="str">
        <f t="array" ref="Q9">IFERROR(INDEX($B$4:$H$27,SMALL(IF($B$4:$B$27=P$8,ROW($B$4:$B$27)-3),ROW($A2)),3),"")</f>
        <v>T1 (IA)</v>
      </c>
      <c r="R9" s="30"/>
      <c r="S9" s="31" t="str">
        <f t="array" ref="S9">IFERROR(INDEX($B$4:$H$27,SMALL(IF($B$4:$B$27=R$8,ROW($B$4:$B$27)-3),ROW($A2)),3),"")</f>
        <v/>
      </c>
      <c r="T9" s="53"/>
      <c r="U9" s="54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>
        <v>16</v>
      </c>
      <c r="C10" s="145">
        <v>0.33333333333333331</v>
      </c>
      <c r="D10" s="152" t="s">
        <v>131</v>
      </c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59"/>
      <c r="Q10" s="54" t="str">
        <f t="array" ref="Q10">IFERROR(INDEX($B$4:$H$27,SMALL(IF($B$4:$B$27=P$8,ROW($B$4:$B$27)-3),ROW($A3)),3),"")</f>
        <v>F1 (IA)</v>
      </c>
      <c r="R10" s="32"/>
      <c r="S10" s="31" t="str">
        <f t="array" ref="S10">IFERROR(INDEX($B$4:$H$27,SMALL(IF($B$4:$B$27=R$8,ROW($B$4:$B$27)-3),ROW($A3)),3),"")</f>
        <v/>
      </c>
      <c r="T10" s="55"/>
      <c r="U10" s="54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>
        <v>19</v>
      </c>
      <c r="C11" s="113">
        <v>0.66666666666666663</v>
      </c>
      <c r="D11" s="152" t="s">
        <v>113</v>
      </c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60"/>
      <c r="Q11" s="54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56"/>
      <c r="U11" s="54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x14ac:dyDescent="0.25">
      <c r="A12" s="68"/>
      <c r="B12" s="107">
        <v>26</v>
      </c>
      <c r="C12" s="145">
        <v>0.66666666666666663</v>
      </c>
      <c r="D12" s="152" t="s">
        <v>113</v>
      </c>
      <c r="E12" s="153"/>
      <c r="F12" s="153"/>
      <c r="G12" s="153"/>
      <c r="H12" s="154"/>
      <c r="I12" s="70"/>
      <c r="J12" s="26">
        <v>15</v>
      </c>
      <c r="K12" s="29" t="str">
        <f t="array" ref="K12">IFERROR(INDEX($B$4:$H$27,SMALL(IF($B$4:$B$27=J$12,ROW($B$4:$B$27)-3),ROW($A$1)),3),"")</f>
        <v/>
      </c>
      <c r="L12" s="43">
        <v>16</v>
      </c>
      <c r="M12" s="58" t="str">
        <f t="array" ref="M12">IFERROR(INDEX($B$4:$H$27,SMALL(IF($B$4:$B$27=L$12,ROW($B$4:$B$27)-3),ROW($A$1)),3),"")</f>
        <v>Sem. Eng. Seg. Trab.</v>
      </c>
      <c r="N12" s="43">
        <v>17</v>
      </c>
      <c r="O12" s="58" t="str">
        <f t="array" ref="O12">IFERROR(INDEX($B$4:$H$27,SMALL(IF($B$4:$B$27=N$12,ROW($B$4:$B$27)-3),ROW($A$1)),3),"")</f>
        <v>P1 FTRANS</v>
      </c>
      <c r="P12" s="43">
        <v>18</v>
      </c>
      <c r="Q12" s="52" t="str">
        <f t="array" ref="Q12">IFERROR(INDEX($B$4:$H$27,SMALL(IF($B$4:$B$27=P$12,ROW($B$4:$B$27)-3),ROW($A$1)),3),"")</f>
        <v>P1 EMBARCADOS</v>
      </c>
      <c r="R12" s="43">
        <v>19</v>
      </c>
      <c r="S12" s="58" t="str">
        <f t="array" ref="S12">IFERROR(INDEX($B$4:$H$27,SMALL(IF($B$4:$B$27=R$12,ROW($B$4:$B$27)-3),ROW($A$1)),3),"")</f>
        <v>PRE-REL. PCE3</v>
      </c>
      <c r="T12" s="43">
        <v>20</v>
      </c>
      <c r="U12" s="27" t="str">
        <f t="array" ref="U12">IFERROR(INDEX($B$4:$H$27,SMALL(IF($B$4:$B$27=T$12,ROW($B$4:$B$27)-3),ROW($A$1)),3),"")</f>
        <v/>
      </c>
      <c r="V12" s="28">
        <v>21</v>
      </c>
      <c r="W12" s="52" t="str">
        <f t="array" ref="W12">IFERROR(INDEX($B$4:$H$27,SMALL(IF($B$4:$B$27=V$12,ROW($B$4:$B$27)-3),ROW($A$1)),3),"")</f>
        <v>Tiradentes</v>
      </c>
      <c r="X12" s="66"/>
    </row>
    <row r="13" spans="1:24" ht="15" customHeight="1" x14ac:dyDescent="0.25">
      <c r="A13" s="68"/>
      <c r="B13" s="105">
        <v>25</v>
      </c>
      <c r="C13" s="106"/>
      <c r="D13" s="152" t="s">
        <v>118</v>
      </c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62"/>
      <c r="M13" s="54" t="str">
        <f t="array" ref="M13">IFERROR(INDEX($B$4:$H$27,SMALL(IF($B$4:$B$27=L$12,ROW($B$4:$B$27)-3),ROW($A$2)),3),"")</f>
        <v>ENTREGA (IA)</v>
      </c>
      <c r="N13" s="62"/>
      <c r="O13" s="54" t="str">
        <f t="array" ref="O13">IFERROR(INDEX($B$4:$H$27,SMALL(IF($B$4:$B$27=N$12,ROW($B$4:$B$27)-3),ROW($A$2)),3),"")</f>
        <v>P1 FSO</v>
      </c>
      <c r="P13" s="62"/>
      <c r="Q13" s="54" t="str">
        <f t="array" ref="Q13">IFERROR(INDEX($B$4:$H$27,SMALL(IF($B$4:$B$27=P$12,ROW($B$4:$B$27)-3),ROW($A$2)),3),"")</f>
        <v/>
      </c>
      <c r="R13" s="53"/>
      <c r="S13" s="54" t="str">
        <f t="array" ref="S13">IFERROR(INDEX($B$4:$H$27,SMALL(IF($B$4:$B$27=R$12,ROW($B$4:$B$27)-3),ROW($A$2)),3),"")</f>
        <v>P1 FSO</v>
      </c>
      <c r="T13" s="30"/>
      <c r="U13" s="31" t="str">
        <f t="array" ref="U13">IFERROR(INDEX($B$4:$H$27,SMALL(IF($B$4:$B$27=T$12,ROW($B$4:$B$27)-3),ROW($A$2)),3),"")</f>
        <v/>
      </c>
      <c r="V13" s="53"/>
      <c r="W13" s="54" t="str">
        <f t="array" ref="W13">IFERROR(INDEX($B$4:$H$27,SMALL(IF($B$4:$B$27=V$12,ROW($B$4:$B$27)-3),ROW($A$2)),3),"")</f>
        <v/>
      </c>
      <c r="X13" s="66"/>
    </row>
    <row r="14" spans="1:24" ht="15" customHeight="1" x14ac:dyDescent="0.25">
      <c r="A14" s="68"/>
      <c r="B14" s="107">
        <v>11</v>
      </c>
      <c r="C14" s="108"/>
      <c r="D14" s="152" t="s">
        <v>118</v>
      </c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59"/>
      <c r="M14" s="54" t="str">
        <f t="array" ref="M14">IFERROR(INDEX($B$4:$H$27,SMALL(IF($B$4:$B$27=L$12,ROW($B$4:$B$27)-3),ROW($A$3)),3),"")</f>
        <v/>
      </c>
      <c r="N14" s="59"/>
      <c r="O14" s="54" t="str">
        <f t="array" ref="O14">IFERROR(INDEX($B$4:$H$27,SMALL(IF($B$4:$B$27=N$12,ROW($B$4:$B$27)-3),ROW($A$3)),3),"")</f>
        <v/>
      </c>
      <c r="P14" s="59"/>
      <c r="Q14" s="54" t="str">
        <f t="array" ref="Q14">IFERROR(INDEX($B$4:$H$27,SMALL(IF($B$4:$B$27=P$12,ROW($B$4:$B$27)-3),ROW($A$3)),3),"")</f>
        <v/>
      </c>
      <c r="R14" s="55"/>
      <c r="S14" s="54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59"/>
      <c r="W14" s="54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>
        <v>13</v>
      </c>
      <c r="C15" s="106"/>
      <c r="D15" s="152" t="s">
        <v>119</v>
      </c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60"/>
      <c r="M15" s="57" t="str">
        <f t="array" ref="M15">IFERROR(INDEX($B$4:$H$27,SMALL(IF($B$4:$B$27=L$12,ROW($B$4:$B$27)-3),ROW($A$4)),3),"")</f>
        <v/>
      </c>
      <c r="N15" s="60"/>
      <c r="O15" s="57" t="str">
        <f t="array" ref="O15">IFERROR(INDEX($B$4:$H$27,SMALL(IF($B$4:$B$27=N$12,ROW($B$4:$B$27)-3),ROW($A$4)),3),"")</f>
        <v/>
      </c>
      <c r="P15" s="60"/>
      <c r="Q15" s="54" t="str">
        <f t="array" ref="Q15">IFERROR(INDEX($B$4:$H$27,SMALL(IF($B$4:$B$27=P$12,ROW($B$4:$B$27)-3),ROW($A$4)),3),"")</f>
        <v/>
      </c>
      <c r="R15" s="56"/>
      <c r="S15" s="5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60"/>
      <c r="W15" s="57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/>
      <c r="C16" s="108"/>
      <c r="D16" s="152"/>
      <c r="E16" s="153"/>
      <c r="F16" s="153"/>
      <c r="G16" s="153"/>
      <c r="H16" s="154"/>
      <c r="I16" s="70"/>
      <c r="J16" s="26">
        <v>22</v>
      </c>
      <c r="K16" s="29" t="str">
        <f t="array" ref="K16">IFERROR(INDEX($B$4:$H$27,SMALL(IF($B$4:$B$27=J$16,ROW($B$4:$B$27)-3),ROW($A1)),3),"")</f>
        <v/>
      </c>
      <c r="L16" s="43">
        <v>23</v>
      </c>
      <c r="M16" s="25" t="str">
        <f t="array" ref="M16">IFERROR(INDEX($B$4:$H$27,SMALL(IF($B$4:$B$27=L$16,ROW($B$4:$B$27)-3),ROW($A1)),3),"")</f>
        <v/>
      </c>
      <c r="N16" s="43">
        <v>24</v>
      </c>
      <c r="O16" s="25" t="str">
        <f t="array" ref="O16">IFERROR(INDEX($B$4:$H$27,SMALL(IF($B$4:$B$27=N$16,ROW($B$4:$B$27)-3),ROW($A1)),3),"")</f>
        <v/>
      </c>
      <c r="P16" s="43">
        <v>25</v>
      </c>
      <c r="Q16" s="52" t="str">
        <f t="array" ref="Q16">IFERROR(INDEX($B$4:$H$27,SMALL(IF($B$4:$B$27=P$16,ROW($B$4:$B$27)-3),ROW($A1)),3),"")</f>
        <v>REL. PCE3</v>
      </c>
      <c r="R16" s="43">
        <v>26</v>
      </c>
      <c r="S16" s="58" t="str">
        <f t="array" ref="S16">IFERROR(INDEX($B$4:$H$27,SMALL(IF($B$4:$B$27=R$16,ROW($B$4:$B$27)-3),ROW($A1)),3),"")</f>
        <v>PRE-REL. PCE3</v>
      </c>
      <c r="T16" s="43">
        <v>27</v>
      </c>
      <c r="U16" s="27" t="str">
        <f t="array" ref="U16">IFERROR(INDEX($B$4:$H$27,SMALL(IF($B$4:$B$27=T$16,ROW($B$4:$B$27)-3),ROW($A1)),3),"")</f>
        <v/>
      </c>
      <c r="V16" s="26">
        <v>28</v>
      </c>
      <c r="W16" s="29" t="str">
        <f t="array" ref="W16">IFERROR(INDEX($B$4:$H$27,SMALL(IF($B$4:$B$27=V$16,ROW($B$4:$B$27)-3),ROW($A1)),3),"")</f>
        <v/>
      </c>
      <c r="X16" s="66"/>
    </row>
    <row r="17" spans="1:24" ht="15" customHeight="1" x14ac:dyDescent="0.25">
      <c r="A17" s="68"/>
      <c r="B17" s="107">
        <v>11</v>
      </c>
      <c r="C17" s="108"/>
      <c r="D17" s="152" t="s">
        <v>124</v>
      </c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62"/>
      <c r="Q17" s="54" t="str">
        <f t="array" ref="Q17">IFERROR(INDEX($B$4:$H$27,SMALL(IF($B$4:$B$27=P$16,ROW($B$4:$B$27)-3),ROW($A2)),3),"")</f>
        <v/>
      </c>
      <c r="R17" s="53"/>
      <c r="S17" s="54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>
        <v>11</v>
      </c>
      <c r="C18" s="106"/>
      <c r="D18" s="152" t="s">
        <v>125</v>
      </c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59"/>
      <c r="Q18" s="54" t="str">
        <f t="array" ref="Q18">IFERROR(INDEX($B$4:$H$27,SMALL(IF($B$4:$B$27=P$16,ROW($B$4:$B$27)-3),ROW($A3)),3),"")</f>
        <v/>
      </c>
      <c r="R18" s="55"/>
      <c r="S18" s="54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>
        <v>16</v>
      </c>
      <c r="C19" s="108"/>
      <c r="D19" s="152" t="s">
        <v>126</v>
      </c>
      <c r="E19" s="153"/>
      <c r="F19" s="153"/>
      <c r="G19" s="153"/>
      <c r="H19" s="154"/>
      <c r="J19" s="47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60"/>
      <c r="Q19" s="57" t="str">
        <f t="array" ref="Q19">IFERROR(INDEX($B$4:$H$27,SMALL(IF($B$4:$B$27=P$16,ROW($B$4:$B$27)-3),ROW($A4)),3),"")</f>
        <v/>
      </c>
      <c r="R19" s="56"/>
      <c r="S19" s="5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>
        <v>17</v>
      </c>
      <c r="C20" s="106"/>
      <c r="D20" s="152" t="s">
        <v>132</v>
      </c>
      <c r="E20" s="153"/>
      <c r="F20" s="153"/>
      <c r="G20" s="153"/>
      <c r="H20" s="154"/>
      <c r="I20" s="70"/>
      <c r="J20" s="49">
        <v>29</v>
      </c>
      <c r="K20" s="29" t="str">
        <f t="array" ref="K20">IFERROR(INDEX($B$4:$H$27,SMALL(IF($B$4:$B$27=J$20,ROW($B$4:$B$27)-3),ROW($A1)),3),"")</f>
        <v/>
      </c>
      <c r="L20" s="28">
        <v>30</v>
      </c>
      <c r="M20" s="144" t="str">
        <f t="array" ref="M20">IFERROR(INDEX($B$4:$H$27,SMALL(IF($B$4:$B$27=L$20,ROW($B$4:$B$27)-3),ROW($A1)),3),"")</f>
        <v/>
      </c>
      <c r="N20" s="79"/>
      <c r="O20" s="80"/>
      <c r="P20" s="79"/>
      <c r="Q20" s="80"/>
      <c r="R20" s="79"/>
      <c r="S20" s="80"/>
      <c r="T20" s="79"/>
      <c r="U20" s="80"/>
      <c r="V20" s="79"/>
      <c r="W20" s="80"/>
      <c r="X20" s="66"/>
    </row>
    <row r="21" spans="1:24" x14ac:dyDescent="0.25">
      <c r="A21" s="68"/>
      <c r="B21" s="107">
        <v>19</v>
      </c>
      <c r="C21" s="108"/>
      <c r="D21" s="152" t="s">
        <v>132</v>
      </c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147"/>
      <c r="M21" s="135" t="str">
        <f t="array" ref="M21">IFERROR(INDEX($B$4:$H$27,SMALL(IF($B$4:$B$27=L$20,ROW($B$4:$B$27)-3),ROW($A2)),3),"")</f>
        <v/>
      </c>
      <c r="N21" s="79"/>
      <c r="O21" s="80"/>
      <c r="P21" s="79"/>
      <c r="Q21" s="80"/>
      <c r="R21" s="79"/>
      <c r="S21" s="80"/>
      <c r="T21" s="79"/>
      <c r="U21" s="80"/>
      <c r="V21" s="79"/>
      <c r="W21" s="80"/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142"/>
      <c r="M22" s="135" t="str">
        <f t="array" ref="M22">IFERROR(INDEX($B$4:$H$27,SMALL(IF($B$4:$B$27=L$20,ROW($B$4:$B$27)-3),ROW($A3)),3),"")</f>
        <v/>
      </c>
      <c r="N22" s="79"/>
      <c r="O22" s="80"/>
      <c r="P22" s="102"/>
      <c r="Q22" s="80"/>
      <c r="R22" s="79"/>
      <c r="S22" s="80"/>
      <c r="T22" s="102"/>
      <c r="U22" s="80"/>
      <c r="V22" s="79"/>
      <c r="W22" s="80"/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143"/>
      <c r="M23" s="136" t="str">
        <f t="array" ref="M23">IFERROR(INDEX($B$4:$H$27,SMALL(IF($B$4:$B$27=L$20,ROW($B$4:$B$27)-3),ROW($A4)),3),"")</f>
        <v/>
      </c>
      <c r="N23" s="83"/>
      <c r="O23" s="84"/>
      <c r="P23" s="81"/>
      <c r="Q23" s="84"/>
      <c r="R23" s="83"/>
      <c r="S23" s="84"/>
      <c r="T23" s="81"/>
      <c r="U23" s="84"/>
      <c r="V23" s="83"/>
      <c r="W23" s="84"/>
      <c r="X23" s="66"/>
    </row>
    <row r="24" spans="1:24" x14ac:dyDescent="0.25">
      <c r="A24" s="68"/>
      <c r="B24" s="111"/>
      <c r="C24" s="112"/>
      <c r="D24" s="161"/>
      <c r="E24" s="162"/>
      <c r="F24" s="162"/>
      <c r="G24" s="162"/>
      <c r="H24" s="163"/>
      <c r="I24" s="76"/>
      <c r="J24" s="75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x14ac:dyDescent="0.25">
      <c r="A25" s="68"/>
      <c r="B25" s="112"/>
      <c r="C25" s="112"/>
      <c r="D25" s="161"/>
      <c r="E25" s="162"/>
      <c r="F25" s="162"/>
      <c r="G25" s="162"/>
      <c r="H25" s="163"/>
      <c r="I25" s="76"/>
      <c r="J25" s="68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A26" s="68"/>
      <c r="B26" s="112"/>
      <c r="C26" s="112"/>
      <c r="D26" s="161"/>
      <c r="E26" s="162"/>
      <c r="F26" s="162"/>
      <c r="G26" s="162"/>
      <c r="H26" s="163"/>
      <c r="I26" s="76"/>
      <c r="J26" s="68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A27" s="68"/>
      <c r="B27" s="112"/>
      <c r="C27" s="112"/>
      <c r="D27" s="161"/>
      <c r="E27" s="162"/>
      <c r="F27" s="162"/>
      <c r="G27" s="162"/>
      <c r="H27" s="163"/>
      <c r="I27" s="68"/>
      <c r="J27" s="68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>
      <c r="K28" s="68"/>
    </row>
    <row r="29" spans="1:24" s="66" customFormat="1" hidden="1" x14ac:dyDescent="0.25"/>
    <row r="30" spans="1:24" s="66" customFormat="1" hidden="1" x14ac:dyDescent="0.25"/>
  </sheetData>
  <sheetProtection algorithmName="SHA-512" hashValue="Q6l1rDfZL2Qiibji5IaUEsK2x7vUQcV7+h66468zEafSdYt9Dnlz7gL8fJxDcP9E42UKcV4jdyriopR1fCPFyQ==" saltValue="X3c/b0yAB9E4k4/2jfaiYQ==" spinCount="100000" sheet="1" objects="1" scenarios="1" selectLockedCells="1"/>
  <mergeCells count="35">
    <mergeCell ref="D27:H27"/>
    <mergeCell ref="D25:H25"/>
    <mergeCell ref="D26:H26"/>
    <mergeCell ref="D23:H23"/>
    <mergeCell ref="D24:H24"/>
    <mergeCell ref="D19:H19"/>
    <mergeCell ref="D20:H20"/>
    <mergeCell ref="D21:H21"/>
    <mergeCell ref="D22:H22"/>
    <mergeCell ref="D4:H4"/>
    <mergeCell ref="D5:H5"/>
    <mergeCell ref="D6:H6"/>
    <mergeCell ref="D7:H7"/>
    <mergeCell ref="D8:H8"/>
    <mergeCell ref="D9:H9"/>
    <mergeCell ref="D10:H10"/>
    <mergeCell ref="D11:H11"/>
    <mergeCell ref="D12:H12"/>
    <mergeCell ref="D13:H13"/>
    <mergeCell ref="D14:H14"/>
    <mergeCell ref="D15:H15"/>
    <mergeCell ref="D16:H16"/>
    <mergeCell ref="D17:H17"/>
    <mergeCell ref="D18:H18"/>
    <mergeCell ref="B2:H2"/>
    <mergeCell ref="D3:H3"/>
    <mergeCell ref="V3:W3"/>
    <mergeCell ref="J2:K2"/>
    <mergeCell ref="M2:U2"/>
    <mergeCell ref="J3:K3"/>
    <mergeCell ref="L3:M3"/>
    <mergeCell ref="N3:O3"/>
    <mergeCell ref="P3:Q3"/>
    <mergeCell ref="R3:S3"/>
    <mergeCell ref="T3:U3"/>
  </mergeCells>
  <conditionalFormatting sqref="B4:H27">
    <cfRule type="notContainsBlanks" dxfId="24" priority="1">
      <formula>LEN(TRIM(B4))&gt;0</formula>
    </cfRule>
  </conditionalFormatting>
  <hyperlinks>
    <hyperlink ref="J2:K2" location="Março!A1" display="←  Março"/>
    <hyperlink ref="W2" location="Maio!A1" display="Maio →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Z30"/>
  <sheetViews>
    <sheetView showGridLines="0" tabSelected="1" topLeftCell="C1" zoomScaleNormal="100" workbookViewId="0">
      <selection activeCell="B8" sqref="B8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7" width="9.1406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6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18</v>
      </c>
      <c r="K2" s="176"/>
      <c r="L2" s="17"/>
      <c r="M2" s="164" t="s">
        <v>63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19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16">
        <v>1</v>
      </c>
      <c r="C4" s="117">
        <v>0</v>
      </c>
      <c r="D4" s="180" t="s">
        <v>20</v>
      </c>
      <c r="E4" s="181"/>
      <c r="F4" s="181"/>
      <c r="G4" s="181"/>
      <c r="H4" s="182"/>
      <c r="I4" s="70"/>
      <c r="J4" s="79"/>
      <c r="K4" s="80"/>
      <c r="L4" s="79"/>
      <c r="M4" s="80"/>
      <c r="N4" s="26">
        <v>1</v>
      </c>
      <c r="O4" s="52" t="str">
        <f t="array" ref="O4">IFERROR(INDEX($B$4:$H$27,SMALL(IF($B$4:$B$27=N$4,ROW($B$4:$B$27)-3),ROW($A1)),3),"")</f>
        <v>Dia do trabalho</v>
      </c>
      <c r="P4" s="28">
        <v>2</v>
      </c>
      <c r="Q4" s="52" t="str">
        <f t="array" ref="Q4">IFERROR(INDEX($B$4:$H$27,SMALL(IF($B$4:$B$27=P$4,ROW($B$4:$B$27)-3),ROW($A1)),3),"")</f>
        <v>PC2 EMBARCADOS</v>
      </c>
      <c r="R4" s="26">
        <v>3</v>
      </c>
      <c r="S4" s="27" t="str">
        <f t="array" ref="S4">IFERROR(INDEX($B$4:$H$27,SMALL(IF($B$4:$B$27=R$4,ROW($B$4:$B$27)-3),ROW($A1)),3),"")</f>
        <v/>
      </c>
      <c r="T4" s="26">
        <v>4</v>
      </c>
      <c r="U4" s="27" t="str">
        <f t="array" ref="U4">IFERROR(INDEX($B$4:$H$27,SMALL(IF($B$4:$B$27=T$4,ROW($B$4:$B$27)-3),ROW($A1)),3),"")</f>
        <v/>
      </c>
      <c r="V4" s="26">
        <v>5</v>
      </c>
      <c r="W4" s="29" t="str">
        <f t="array" ref="W4">IFERROR(INDEX($B$4:$H$27,SMALL(IF($B$4:$B$27=V$4,ROW($B$4:$B$27)-3),ROW($A1)),3),"")</f>
        <v/>
      </c>
      <c r="X4" s="66"/>
    </row>
    <row r="5" spans="1:24" ht="15" customHeight="1" x14ac:dyDescent="0.25">
      <c r="A5" s="138">
        <v>5</v>
      </c>
      <c r="B5" s="103">
        <v>13</v>
      </c>
      <c r="C5" s="104">
        <v>0</v>
      </c>
      <c r="D5" s="152" t="s">
        <v>66</v>
      </c>
      <c r="E5" s="153"/>
      <c r="F5" s="153"/>
      <c r="G5" s="153"/>
      <c r="H5" s="154"/>
      <c r="I5" s="70"/>
      <c r="J5" s="168"/>
      <c r="K5" s="169"/>
      <c r="L5" s="168"/>
      <c r="M5" s="169"/>
      <c r="N5" s="55"/>
      <c r="O5" s="54" t="str">
        <f t="array" ref="O5">IFERROR(INDEX($B$4:$H$27,SMALL(IF($B$4:$B$27=N$4,ROW($B$4:$B$27)-3),ROW($A2)),3),"")</f>
        <v/>
      </c>
      <c r="P5" s="53"/>
      <c r="Q5" s="54" t="str">
        <f t="array" ref="Q5">IFERROR(INDEX($B$4:$H$27,SMALL(IF($B$4:$B$27=P$4,ROW($B$4:$B$27)-3),ROW($A2)),3),"")</f>
        <v>REL. PCE3</v>
      </c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05">
        <v>31</v>
      </c>
      <c r="C6" s="113">
        <v>0</v>
      </c>
      <c r="D6" s="152" t="s">
        <v>23</v>
      </c>
      <c r="E6" s="153"/>
      <c r="F6" s="153"/>
      <c r="G6" s="153"/>
      <c r="H6" s="154"/>
      <c r="I6" s="70"/>
      <c r="J6" s="170"/>
      <c r="K6" s="169"/>
      <c r="L6" s="170"/>
      <c r="M6" s="169"/>
      <c r="N6" s="55"/>
      <c r="O6" s="54" t="str">
        <f t="array" ref="O6">IFERROR(INDEX($B$4:$H$27,SMALL(IF($B$4:$B$27=N$4,ROW($B$4:$B$27)-3),ROW($A3)),3),"")</f>
        <v/>
      </c>
      <c r="P6" s="59"/>
      <c r="Q6" s="54" t="str">
        <f t="array" ref="Q6">IFERROR(INDEX($B$4:$H$27,SMALL(IF($B$4:$B$27=P$4,ROW($B$4:$B$27)-3),ROW($A3)),3),"")</f>
        <v/>
      </c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7">
        <v>7</v>
      </c>
      <c r="C7" s="145">
        <v>0.66666666666666663</v>
      </c>
      <c r="D7" s="152" t="s">
        <v>102</v>
      </c>
      <c r="E7" s="153"/>
      <c r="F7" s="153"/>
      <c r="G7" s="153"/>
      <c r="H7" s="154"/>
      <c r="I7" s="70"/>
      <c r="J7" s="171"/>
      <c r="K7" s="172"/>
      <c r="L7" s="171"/>
      <c r="M7" s="172"/>
      <c r="N7" s="60"/>
      <c r="O7" s="57" t="str">
        <f t="array" ref="O7">IFERROR(INDEX($B$4:$H$27,SMALL(IF($B$4:$B$27=N$4,ROW($B$4:$B$27)-3),ROW($A4)),3),"")</f>
        <v/>
      </c>
      <c r="P7" s="60"/>
      <c r="Q7" s="57" t="str">
        <f t="array" ref="Q7">IFERROR(INDEX($B$4:$H$27,SMALL(IF($B$4:$B$27=P$4,ROW($B$4:$B$27)-3),ROW($A4)),3),"")</f>
        <v/>
      </c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7">
        <v>29</v>
      </c>
      <c r="C8" s="145">
        <v>0.58333333333333337</v>
      </c>
      <c r="D8" s="152" t="s">
        <v>103</v>
      </c>
      <c r="E8" s="153"/>
      <c r="F8" s="153"/>
      <c r="G8" s="153"/>
      <c r="H8" s="154"/>
      <c r="I8" s="70"/>
      <c r="J8" s="41">
        <v>6</v>
      </c>
      <c r="K8" s="42" t="str">
        <f t="array" ref="K8">IFERROR(INDEX($B$4:$H$27,SMALL(IF($B$4:$B$27=J$8,ROW($B$4:$B$27)-3),ROW($A1)),3),"")</f>
        <v/>
      </c>
      <c r="L8" s="43">
        <v>7</v>
      </c>
      <c r="M8" s="25" t="b">
        <f>O10=IFERROR(INDEX($B$4:$H$27,SMALL(IF($B$4:$B$27=L$8,ROW($B$4:$B$27)-3),ROW($A1)),3),"")</f>
        <v>0</v>
      </c>
      <c r="N8" s="43">
        <v>8</v>
      </c>
      <c r="O8" s="25" t="str">
        <f t="array" ref="O8">IFERROR(INDEX($B$4:$H$27,SMALL(IF($B$4:$B$27=N$8,ROW($B$4:$B$27)-3),ROW($A1)),3),"")</f>
        <v/>
      </c>
      <c r="P8" s="43">
        <v>9</v>
      </c>
      <c r="Q8" s="25" t="str">
        <f t="array" ref="Q8">IFERROR(INDEX($B$4:$H$27,SMALL(IF($B$4:$B$27=P$8,ROW($B$4:$B$27)-3),ROW($A1)),3),"")</f>
        <v/>
      </c>
      <c r="R8" s="43">
        <v>10</v>
      </c>
      <c r="S8" s="58" t="str">
        <f t="array" ref="S8">IFERROR(INDEX($B$4:$H$27,SMALL(IF($B$4:$B$27=R$8,ROW($B$4:$B$27)-3),ROW($A1)),3),"")</f>
        <v>CRONOGRAMA DO PROJETO</v>
      </c>
      <c r="T8" s="43">
        <v>11</v>
      </c>
      <c r="U8" s="25" t="str">
        <f t="array" ref="U8">IFERROR(INDEX($B$4:$H$27,SMALL(IF($B$4:$B$27=T$8,ROW($B$4:$B$27)-3),ROW($A1)),3),"")</f>
        <v/>
      </c>
      <c r="V8" s="43">
        <v>12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>
        <v>14</v>
      </c>
      <c r="C9" s="145">
        <v>0.33333333333333331</v>
      </c>
      <c r="D9" s="152" t="s">
        <v>104</v>
      </c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53"/>
      <c r="S9" s="54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>
        <v>2</v>
      </c>
      <c r="C10" s="145">
        <v>0.66666666666666663</v>
      </c>
      <c r="D10" s="152" t="s">
        <v>105</v>
      </c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55"/>
      <c r="S10" s="54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>
        <v>16</v>
      </c>
      <c r="C11" s="113">
        <v>0.66666666666666663</v>
      </c>
      <c r="D11" s="152" t="s">
        <v>106</v>
      </c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56"/>
      <c r="S11" s="5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ht="26.25" x14ac:dyDescent="0.25">
      <c r="A12" s="68"/>
      <c r="B12" s="107">
        <v>30</v>
      </c>
      <c r="C12" s="145">
        <v>0.66666666666666663</v>
      </c>
      <c r="D12" s="152" t="s">
        <v>107</v>
      </c>
      <c r="E12" s="153"/>
      <c r="F12" s="153"/>
      <c r="G12" s="153"/>
      <c r="H12" s="154"/>
      <c r="I12" s="70"/>
      <c r="J12" s="26">
        <v>13</v>
      </c>
      <c r="K12" s="52" t="str">
        <f t="array" ref="K12">IFERROR(INDEX($B$4:$H$27,SMALL(IF($B$4:$B$27=J$12,ROW($B$4:$B$27)-3),ROW($A$1)),3),"")</f>
        <v>Dia das Mães</v>
      </c>
      <c r="L12" s="43">
        <v>14</v>
      </c>
      <c r="M12" s="58" t="str">
        <f t="array" ref="M12">IFERROR(INDEX($B$4:$H$27,SMALL(IF($B$4:$B$27=L$12,ROW($B$4:$B$27)-3),ROW($A$1)),3),"")</f>
        <v>P1 EST</v>
      </c>
      <c r="N12" s="43">
        <v>15</v>
      </c>
      <c r="O12" s="25" t="str">
        <f t="array" ref="O12">IFERROR(INDEX($B$4:$H$27,SMALL(IF($B$4:$B$27=N$12,ROW($B$4:$B$27)-3),ROW($A$1)),3),"")</f>
        <v/>
      </c>
      <c r="P12" s="43">
        <v>16</v>
      </c>
      <c r="Q12" s="52" t="str">
        <f t="array" ref="Q12">IFERROR(INDEX($B$4:$H$27,SMALL(IF($B$4:$B$27=P$12,ROW($B$4:$B$27)-3),ROW($A$1)),3),"")</f>
        <v>P2 EMBARCADOS</v>
      </c>
      <c r="R12" s="43">
        <v>17</v>
      </c>
      <c r="S12" s="58" t="str">
        <f t="array" ref="S12">IFERROR(INDEX($B$4:$H$27,SMALL(IF($B$4:$B$27=R$12,ROW($B$4:$B$27)-3),ROW($A$1)),3),"")</f>
        <v>Desenvol. Proj.  PCE3</v>
      </c>
      <c r="T12" s="43">
        <v>18</v>
      </c>
      <c r="U12" s="52" t="str">
        <f t="array" ref="U12">IFERROR(INDEX($B$4:$H$27,SMALL(IF($B$4:$B$27=T$12,ROW($B$4:$B$27)-3),ROW($A$1)),3),"")</f>
        <v>LAB. FTRANS</v>
      </c>
      <c r="V12" s="28">
        <v>19</v>
      </c>
      <c r="W12" s="29" t="str">
        <f t="array" ref="W12">IFERROR(INDEX($B$4:$H$27,SMALL(IF($B$4:$B$27=V$12,ROW($B$4:$B$27)-3),ROW($A$1)),3),"")</f>
        <v/>
      </c>
      <c r="X12" s="66"/>
    </row>
    <row r="13" spans="1:24" ht="15" customHeight="1" x14ac:dyDescent="0.25">
      <c r="A13" s="68"/>
      <c r="B13" s="105">
        <v>10</v>
      </c>
      <c r="C13" s="113">
        <v>0.66666666666666663</v>
      </c>
      <c r="D13" s="152" t="s">
        <v>114</v>
      </c>
      <c r="E13" s="153"/>
      <c r="F13" s="153"/>
      <c r="G13" s="153"/>
      <c r="H13" s="154"/>
      <c r="I13" s="70"/>
      <c r="J13" s="59"/>
      <c r="K13" s="54" t="str">
        <f t="array" ref="K13">IFERROR(INDEX($B$4:$H$27,SMALL(IF($B$4:$B$27=J$12,ROW($B$4:$B$27)-3),ROW($A$2)),3),"")</f>
        <v/>
      </c>
      <c r="L13" s="62"/>
      <c r="M13" s="54" t="str">
        <f t="array" ref="M13">IFERROR(INDEX($B$4:$H$27,SMALL(IF($B$4:$B$27=L$12,ROW($B$4:$B$27)-3),ROW($A$2)),3),"")</f>
        <v>T2 IA</v>
      </c>
      <c r="N13" s="45"/>
      <c r="O13" s="31" t="str">
        <f t="array" ref="O13">IFERROR(INDEX($B$4:$H$27,SMALL(IF($B$4:$B$27=N$12,ROW($B$4:$B$27)-3),ROW($A$2)),3),"")</f>
        <v/>
      </c>
      <c r="P13" s="62"/>
      <c r="Q13" s="54" t="str">
        <f t="array" ref="Q13">IFERROR(INDEX($B$4:$H$27,SMALL(IF($B$4:$B$27=P$12,ROW($B$4:$B$27)-3),ROW($A$2)),3),"")</f>
        <v>T2 (IA)</v>
      </c>
      <c r="R13" s="53"/>
      <c r="S13" s="54" t="str">
        <f t="array" ref="S13">IFERROR(INDEX($B$4:$H$27,SMALL(IF($B$4:$B$27=R$12,ROW($B$4:$B$27)-3),ROW($A$2)),3),"")</f>
        <v/>
      </c>
      <c r="T13" s="53"/>
      <c r="U13" s="54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>
        <v>17</v>
      </c>
      <c r="C14" s="145">
        <v>0.66666666666666663</v>
      </c>
      <c r="D14" s="152" t="s">
        <v>116</v>
      </c>
      <c r="E14" s="153"/>
      <c r="F14" s="153"/>
      <c r="G14" s="153"/>
      <c r="H14" s="154"/>
      <c r="I14" s="69"/>
      <c r="J14" s="61"/>
      <c r="K14" s="54" t="str">
        <f t="array" ref="K14">IFERROR(INDEX($B$4:$H$27,SMALL(IF($B$4:$B$27=J$12,ROW($B$4:$B$27)-3),ROW($A$3)),3),"")</f>
        <v/>
      </c>
      <c r="L14" s="59"/>
      <c r="M14" s="54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59"/>
      <c r="Q14" s="54" t="str">
        <f t="array" ref="Q14">IFERROR(INDEX($B$4:$H$27,SMALL(IF($B$4:$B$27=P$12,ROW($B$4:$B$27)-3),ROW($A$3)),3),"")</f>
        <v/>
      </c>
      <c r="R14" s="55"/>
      <c r="S14" s="54" t="str">
        <f t="array" ref="S14">IFERROR(INDEX($B$4:$H$27,SMALL(IF($B$4:$B$27=R$12,ROW($B$4:$B$27)-3),ROW($A$3)),3),"")</f>
        <v/>
      </c>
      <c r="T14" s="55"/>
      <c r="U14" s="54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>
        <v>24</v>
      </c>
      <c r="C15" s="113">
        <v>0.66666666666666663</v>
      </c>
      <c r="D15" s="152" t="s">
        <v>115</v>
      </c>
      <c r="E15" s="153"/>
      <c r="F15" s="153"/>
      <c r="G15" s="153"/>
      <c r="H15" s="154"/>
      <c r="I15" s="69"/>
      <c r="J15" s="56"/>
      <c r="K15" s="57" t="str">
        <f t="array" ref="K15">IFERROR(INDEX($B$4:$H$27,SMALL(IF($B$4:$B$27=J$12,ROW($B$4:$B$27)-3),ROW($A$4)),3),"")</f>
        <v/>
      </c>
      <c r="L15" s="60"/>
      <c r="M15" s="5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60"/>
      <c r="Q15" s="54" t="str">
        <f t="array" ref="Q15">IFERROR(INDEX($B$4:$H$27,SMALL(IF($B$4:$B$27=P$12,ROW($B$4:$B$27)-3),ROW($A$4)),3),"")</f>
        <v/>
      </c>
      <c r="R15" s="56"/>
      <c r="S15" s="57" t="str">
        <f t="array" ref="S15">IFERROR(INDEX($B$4:$H$27,SMALL(IF($B$4:$B$27=R$12,ROW($B$4:$B$27)-3),ROW($A$4)),3),"")</f>
        <v/>
      </c>
      <c r="T15" s="56"/>
      <c r="U15" s="54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>
        <v>31</v>
      </c>
      <c r="C16" s="145">
        <v>0.66666666666666663</v>
      </c>
      <c r="D16" s="152" t="s">
        <v>115</v>
      </c>
      <c r="E16" s="153"/>
      <c r="F16" s="153"/>
      <c r="G16" s="153"/>
      <c r="H16" s="154"/>
      <c r="J16" s="26">
        <v>20</v>
      </c>
      <c r="K16" s="29" t="str">
        <f t="array" ref="K16">IFERROR(INDEX($B$4:$H$27,SMALL(IF($B$4:$B$27=J$16,ROW($B$4:$B$27)-3),ROW($A1)),3),"")</f>
        <v/>
      </c>
      <c r="L16" s="43">
        <v>21</v>
      </c>
      <c r="M16" s="58" t="str">
        <f t="array" ref="M16">IFERROR(INDEX($B$4:$H$27,SMALL(IF($B$4:$B$27=L$16,ROW($B$4:$B$27)-3),ROW($A1)),3),"")</f>
        <v>T2 IA</v>
      </c>
      <c r="N16" s="43">
        <v>22</v>
      </c>
      <c r="O16" s="25" t="str">
        <f t="array" ref="O16">IFERROR(INDEX($B$4:$H$27,SMALL(IF($B$4:$B$27=N$16,ROW($B$4:$B$27)-3),ROW($A1)),3),"")</f>
        <v/>
      </c>
      <c r="P16" s="43">
        <v>23</v>
      </c>
      <c r="Q16" s="27" t="str">
        <f t="array" ref="Q16">IFERROR(INDEX($B$4:$H$27,SMALL(IF($B$4:$B$27=P$16,ROW($B$4:$B$27)-3),ROW($A1)),3),"")</f>
        <v/>
      </c>
      <c r="R16" s="43">
        <v>24</v>
      </c>
      <c r="S16" s="58" t="str">
        <f t="array" ref="S16">IFERROR(INDEX($B$4:$H$27,SMALL(IF($B$4:$B$27=R$16,ROW($B$4:$B$27)-3),ROW($A1)),3),"")</f>
        <v>Desenvol. Proj. PCE3</v>
      </c>
      <c r="T16" s="43">
        <v>25</v>
      </c>
      <c r="U16" s="27" t="str">
        <f t="array" ref="U16">IFERROR(INDEX($B$4:$H$27,SMALL(IF($B$4:$B$27=T$16,ROW($B$4:$B$27)-3),ROW($A1)),3),"")</f>
        <v/>
      </c>
      <c r="V16" s="26">
        <v>26</v>
      </c>
      <c r="W16" s="29" t="str">
        <f t="array" ref="W16">IFERROR(INDEX($B$4:$H$27,SMALL(IF($B$4:$B$27=V$16,ROW($B$4:$B$27)-3),ROW($A1)),3),"")</f>
        <v/>
      </c>
      <c r="X16" s="66"/>
    </row>
    <row r="17" spans="1:24" x14ac:dyDescent="0.25">
      <c r="A17" s="68"/>
      <c r="B17" s="107">
        <v>2</v>
      </c>
      <c r="C17" s="108"/>
      <c r="D17" s="152" t="s">
        <v>118</v>
      </c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53"/>
      <c r="M17" s="54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53"/>
      <c r="S17" s="54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>
        <v>18</v>
      </c>
      <c r="C18" s="106"/>
      <c r="D18" s="152" t="s">
        <v>119</v>
      </c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59"/>
      <c r="M18" s="54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55"/>
      <c r="S18" s="54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>
        <v>16</v>
      </c>
      <c r="C19" s="108"/>
      <c r="D19" s="152" t="s">
        <v>134</v>
      </c>
      <c r="E19" s="153"/>
      <c r="F19" s="153"/>
      <c r="G19" s="153"/>
      <c r="H19" s="154"/>
      <c r="J19" s="47"/>
      <c r="K19" s="40" t="str">
        <f t="array" ref="K19">IFERROR(INDEX($B$4:$H$27,SMALL(IF($B$4:$B$27=J$16,ROW($B$4:$B$27)-3),ROW($A4)),3),"")</f>
        <v/>
      </c>
      <c r="L19" s="60"/>
      <c r="M19" s="5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56"/>
      <c r="S19" s="5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>
        <v>14</v>
      </c>
      <c r="C20" s="106"/>
      <c r="D20" s="152" t="s">
        <v>133</v>
      </c>
      <c r="E20" s="153"/>
      <c r="F20" s="153"/>
      <c r="G20" s="153"/>
      <c r="H20" s="154"/>
      <c r="I20" s="70"/>
      <c r="J20" s="49">
        <v>27</v>
      </c>
      <c r="K20" s="29" t="str">
        <f t="array" ref="K20">IFERROR(INDEX($B$4:$H$27,SMALL(IF($B$4:$B$27=J$20,ROW($B$4:$B$27)-3),ROW($A1)),3),"")</f>
        <v/>
      </c>
      <c r="L20" s="28">
        <v>28</v>
      </c>
      <c r="M20" s="58" t="str">
        <f t="array" ref="M20">IFERROR(INDEX($B$4:$H$27,SMALL(IF($B$4:$B$27=L$20,ROW($B$4:$B$27)-3),ROW($A1)),3),"")</f>
        <v>F IA</v>
      </c>
      <c r="N20" s="43">
        <v>29</v>
      </c>
      <c r="O20" s="58" t="str">
        <f t="array" ref="O20">IFERROR(INDEX($B$4:$H$27,SMALL(IF($B$4:$B$27=N$20,ROW($B$4:$B$27)-3),ROW($A1)),3),"")</f>
        <v>P2 FTRANS</v>
      </c>
      <c r="P20" s="43">
        <v>30</v>
      </c>
      <c r="Q20" s="58" t="str">
        <f t="array" ref="Q20">IFERROR(INDEX($B$4:$H$27,SMALL(IF($B$4:$B$27=P$20,ROW($B$4:$B$27)-3),ROW($A1)),3),"")</f>
        <v>PC3 EMBARCADOS</v>
      </c>
      <c r="R20" s="43">
        <v>31</v>
      </c>
      <c r="S20" s="58" t="str">
        <f t="array" ref="S20">IFERROR(INDEX($B$4:$H$27,SMALL(IF($B$4:$B$27=R$20,ROW($B$4:$B$27)-3),ROW($A1)),3),"")</f>
        <v>Corpus Christi</v>
      </c>
      <c r="T20" s="79"/>
      <c r="U20" s="80"/>
      <c r="V20" s="79"/>
      <c r="W20" s="80"/>
      <c r="X20" s="66"/>
    </row>
    <row r="21" spans="1:24" ht="15" customHeight="1" x14ac:dyDescent="0.25">
      <c r="A21" s="68"/>
      <c r="B21" s="107">
        <v>21</v>
      </c>
      <c r="C21" s="108"/>
      <c r="D21" s="152" t="s">
        <v>133</v>
      </c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53"/>
      <c r="M21" s="54" t="str">
        <f t="array" ref="M21">IFERROR(INDEX($B$4:$H$27,SMALL(IF($B$4:$B$27=L$20,ROW($B$4:$B$27)-3),ROW($A2)),3),"")</f>
        <v/>
      </c>
      <c r="N21" s="62"/>
      <c r="O21" s="54" t="str">
        <f t="array" ref="O21">IFERROR(INDEX($B$4:$H$27,SMALL(IF($B$4:$B$27=N$20,ROW($B$4:$B$27)-3),ROW($A2)),3),"")</f>
        <v/>
      </c>
      <c r="P21" s="62"/>
      <c r="Q21" s="54" t="str">
        <f t="array" ref="Q21">IFERROR(INDEX($B$4:$H$27,SMALL(IF($B$4:$B$27=P$20,ROW($B$4:$B$27)-3),ROW($A2)),3),"")</f>
        <v/>
      </c>
      <c r="R21" s="62"/>
      <c r="S21" s="54" t="str">
        <f t="array" ref="S21">IFERROR(INDEX($B$4:$H$27,SMALL(IF($B$4:$B$27=R$20,ROW($B$4:$B$27)-3),ROW($A2)),3),"")</f>
        <v>Desenvol. Proj. PCE3</v>
      </c>
      <c r="T21" s="79"/>
      <c r="U21" s="80"/>
      <c r="V21" s="79"/>
      <c r="W21" s="80"/>
      <c r="X21" s="66"/>
    </row>
    <row r="22" spans="1:24" x14ac:dyDescent="0.25">
      <c r="A22" s="68"/>
      <c r="B22" s="107">
        <v>28</v>
      </c>
      <c r="C22" s="108"/>
      <c r="D22" s="152" t="s">
        <v>135</v>
      </c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59"/>
      <c r="M22" s="54" t="str">
        <f t="array" ref="M22">IFERROR(INDEX($B$4:$H$27,SMALL(IF($B$4:$B$27=L$20,ROW($B$4:$B$27)-3),ROW($A3)),3),"")</f>
        <v/>
      </c>
      <c r="N22" s="59"/>
      <c r="O22" s="54" t="str">
        <f t="array" ref="O22">IFERROR(INDEX($B$4:$H$27,SMALL(IF($B$4:$B$27=N$20,ROW($B$4:$B$27)-3),ROW($A3)),3),"")</f>
        <v/>
      </c>
      <c r="P22" s="59"/>
      <c r="Q22" s="54" t="str">
        <f t="array" ref="Q22">IFERROR(INDEX($B$4:$H$27,SMALL(IF($B$4:$B$27=P$20,ROW($B$4:$B$27)-3),ROW($A3)),3),"")</f>
        <v/>
      </c>
      <c r="R22" s="59"/>
      <c r="S22" s="54" t="str">
        <f t="array" ref="S22">IFERROR(INDEX($B$4:$H$27,SMALL(IF($B$4:$B$27=R$20,ROW($B$4:$B$27)-3),ROW($A3)),3),"")</f>
        <v/>
      </c>
      <c r="T22" s="102"/>
      <c r="U22" s="80"/>
      <c r="V22" s="79"/>
      <c r="W22" s="80"/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60"/>
      <c r="M23" s="57" t="str">
        <f t="array" ref="M23">IFERROR(INDEX($B$4:$H$27,SMALL(IF($B$4:$B$27=L$20,ROW($B$4:$B$27)-3),ROW($A4)),3),"")</f>
        <v/>
      </c>
      <c r="N23" s="60"/>
      <c r="O23" s="57" t="str">
        <f t="array" ref="O23">IFERROR(INDEX($B$4:$H$27,SMALL(IF($B$4:$B$27=N$20,ROW($B$4:$B$27)-3),ROW($A4)),3),"")</f>
        <v/>
      </c>
      <c r="P23" s="60"/>
      <c r="Q23" s="57" t="str">
        <f t="array" ref="Q23">IFERROR(INDEX($B$4:$H$27,SMALL(IF($B$4:$B$27=P$20,ROW($B$4:$B$27)-3),ROW($A4)),3),"")</f>
        <v/>
      </c>
      <c r="R23" s="60"/>
      <c r="S23" s="57" t="str">
        <f t="array" ref="S23">IFERROR(INDEX($B$4:$H$27,SMALL(IF($B$4:$B$27=R$20,ROW($B$4:$B$27)-3),ROW($A4)),3),"")</f>
        <v/>
      </c>
      <c r="T23" s="81"/>
      <c r="U23" s="84"/>
      <c r="V23" s="83"/>
      <c r="W23" s="84"/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J24" s="66"/>
      <c r="K24" s="66"/>
      <c r="L24" s="66"/>
      <c r="M24" s="66"/>
      <c r="N24" s="66"/>
      <c r="O24" s="66"/>
      <c r="P24" s="66"/>
      <c r="Q24" s="66"/>
      <c r="R24" s="66"/>
      <c r="S24" s="75"/>
      <c r="T24" s="66"/>
      <c r="U24" s="66"/>
      <c r="V24" s="66"/>
      <c r="W24" s="66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/>
    <row r="29" spans="1:24" s="66" customFormat="1" hidden="1" x14ac:dyDescent="0.25"/>
    <row r="30" spans="1:24" s="66" customFormat="1" hidden="1" x14ac:dyDescent="0.25"/>
  </sheetData>
  <sheetProtection algorithmName="SHA-512" hashValue="IZrfLoTzMvXXDL67gEsPbRZ+YQHmG7e/QAU4UjJSUP7OPynO9s5KkkZORuPc69faTFKfpVki5BNRjxCCOrzriA==" saltValue="8w/tOE7afDhCx6jVeUjPNw==" spinCount="100000" sheet="1" objects="1" scenarios="1" selectLockedCells="1"/>
  <mergeCells count="41">
    <mergeCell ref="D27:H27"/>
    <mergeCell ref="J5:K5"/>
    <mergeCell ref="J6:K6"/>
    <mergeCell ref="J7:K7"/>
    <mergeCell ref="L5:M5"/>
    <mergeCell ref="L6:M6"/>
    <mergeCell ref="L7:M7"/>
    <mergeCell ref="D24:H24"/>
    <mergeCell ref="D25:H25"/>
    <mergeCell ref="D26:H26"/>
    <mergeCell ref="D22:H22"/>
    <mergeCell ref="D23:H23"/>
    <mergeCell ref="D13:H13"/>
    <mergeCell ref="D14:H14"/>
    <mergeCell ref="D15:H15"/>
    <mergeCell ref="D16:H16"/>
    <mergeCell ref="D17:H17"/>
    <mergeCell ref="D18:H18"/>
    <mergeCell ref="D19:H19"/>
    <mergeCell ref="D20:H20"/>
    <mergeCell ref="D21:H21"/>
    <mergeCell ref="D9:H9"/>
    <mergeCell ref="D10:H10"/>
    <mergeCell ref="D11:H11"/>
    <mergeCell ref="D12:H12"/>
    <mergeCell ref="B2:H2"/>
    <mergeCell ref="D3:H3"/>
    <mergeCell ref="D4:H4"/>
    <mergeCell ref="D5:H5"/>
    <mergeCell ref="D6:H6"/>
    <mergeCell ref="D7:H7"/>
    <mergeCell ref="D8:H8"/>
    <mergeCell ref="V3:W3"/>
    <mergeCell ref="J2:K2"/>
    <mergeCell ref="M2:U2"/>
    <mergeCell ref="J3:K3"/>
    <mergeCell ref="L3:M3"/>
    <mergeCell ref="N3:O3"/>
    <mergeCell ref="P3:Q3"/>
    <mergeCell ref="R3:S3"/>
    <mergeCell ref="T3:U3"/>
  </mergeCells>
  <conditionalFormatting sqref="B4:H27">
    <cfRule type="notContainsBlanks" dxfId="23" priority="1">
      <formula>LEN(TRIM(B4))&gt;0</formula>
    </cfRule>
  </conditionalFormatting>
  <hyperlinks>
    <hyperlink ref="J2:K2" location="Abril!A1" display="←  Abril"/>
    <hyperlink ref="W2" location="Junho!A1" display="Junho  →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Z30"/>
  <sheetViews>
    <sheetView showGridLines="0" topLeftCell="A3" workbookViewId="0">
      <selection activeCell="D19" sqref="D19:H19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5" width="9.140625" customWidth="1"/>
    <col min="6" max="6" width="9.5703125" customWidth="1"/>
    <col min="7" max="7" width="6.425781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6.75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21</v>
      </c>
      <c r="K2" s="176"/>
      <c r="L2" s="17"/>
      <c r="M2" s="164" t="s">
        <v>64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22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14">
        <v>25</v>
      </c>
      <c r="C4" s="104">
        <v>0.66666666666666663</v>
      </c>
      <c r="D4" s="152" t="s">
        <v>108</v>
      </c>
      <c r="E4" s="153"/>
      <c r="F4" s="153"/>
      <c r="G4" s="153"/>
      <c r="H4" s="154"/>
      <c r="I4" s="70"/>
      <c r="J4" s="79"/>
      <c r="K4" s="80"/>
      <c r="L4" s="79"/>
      <c r="M4" s="80"/>
      <c r="N4" s="79"/>
      <c r="O4" s="100"/>
      <c r="P4" s="101"/>
      <c r="Q4" s="100"/>
      <c r="R4" s="101"/>
      <c r="S4" s="100"/>
      <c r="T4" s="26">
        <v>1</v>
      </c>
      <c r="U4" s="27" t="str">
        <f t="array" ref="U4">IFERROR(INDEX($B$4:$H$27,SMALL(IF($B$4:$B$27=T$4,ROW($B$4:$B$27)-3),ROW($A1)),3),"")</f>
        <v/>
      </c>
      <c r="V4" s="26">
        <v>2</v>
      </c>
      <c r="W4" s="29" t="str">
        <f t="array" ref="W4">IFERROR(INDEX($B$4:$H$27,SMALL(IF($B$4:$B$27=V$4,ROW($B$4:$B$27)-3),ROW($A1)),3),"")</f>
        <v/>
      </c>
      <c r="X4" s="66"/>
    </row>
    <row r="5" spans="1:24" ht="15" customHeight="1" x14ac:dyDescent="0.25">
      <c r="A5" s="138">
        <v>6</v>
      </c>
      <c r="B5" s="114">
        <v>28</v>
      </c>
      <c r="C5" s="115">
        <v>0.58333333333333337</v>
      </c>
      <c r="D5" s="152" t="s">
        <v>109</v>
      </c>
      <c r="E5" s="153"/>
      <c r="F5" s="153"/>
      <c r="G5" s="153"/>
      <c r="H5" s="154"/>
      <c r="I5" s="70"/>
      <c r="J5" s="168"/>
      <c r="K5" s="169"/>
      <c r="L5" s="168"/>
      <c r="M5" s="169"/>
      <c r="N5" s="168"/>
      <c r="O5" s="169"/>
      <c r="P5" s="168"/>
      <c r="Q5" s="169"/>
      <c r="R5" s="168"/>
      <c r="S5" s="169"/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14">
        <v>18</v>
      </c>
      <c r="C6" s="113">
        <v>0.33333333333333331</v>
      </c>
      <c r="D6" s="152" t="s">
        <v>110</v>
      </c>
      <c r="E6" s="153"/>
      <c r="F6" s="153"/>
      <c r="G6" s="153"/>
      <c r="H6" s="154"/>
      <c r="I6" s="70"/>
      <c r="J6" s="170"/>
      <c r="K6" s="169"/>
      <c r="L6" s="170"/>
      <c r="M6" s="169"/>
      <c r="N6" s="170"/>
      <c r="O6" s="169"/>
      <c r="P6" s="170"/>
      <c r="Q6" s="169"/>
      <c r="R6" s="170"/>
      <c r="S6" s="169"/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14">
        <v>13</v>
      </c>
      <c r="C7" s="145">
        <v>0.66666666666666663</v>
      </c>
      <c r="D7" s="152" t="s">
        <v>111</v>
      </c>
      <c r="E7" s="153"/>
      <c r="F7" s="153"/>
      <c r="G7" s="153"/>
      <c r="H7" s="154"/>
      <c r="I7" s="70"/>
      <c r="J7" s="171"/>
      <c r="K7" s="172"/>
      <c r="L7" s="171"/>
      <c r="M7" s="172"/>
      <c r="N7" s="171"/>
      <c r="O7" s="172"/>
      <c r="P7" s="171"/>
      <c r="Q7" s="172"/>
      <c r="R7" s="171"/>
      <c r="S7" s="172"/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14">
        <v>27</v>
      </c>
      <c r="C8" s="145">
        <v>0.66666666666666663</v>
      </c>
      <c r="D8" s="152" t="s">
        <v>112</v>
      </c>
      <c r="E8" s="153"/>
      <c r="F8" s="153"/>
      <c r="G8" s="153"/>
      <c r="H8" s="154"/>
      <c r="I8" s="70"/>
      <c r="J8" s="41">
        <v>3</v>
      </c>
      <c r="K8" s="42" t="str">
        <f t="array" ref="K8">IFERROR(INDEX($B$4:$H$27,SMALL(IF($B$4:$B$27=J$8,ROW($B$4:$B$27)-3),ROW($A1)),3),"")</f>
        <v/>
      </c>
      <c r="L8" s="43">
        <v>4</v>
      </c>
      <c r="M8" s="25" t="str">
        <f t="array" ref="M8">IFERROR(INDEX($B$4:$H$27,SMALL(IF($B$4:$B$27=L$8,ROW($B$4:$B$27)-3),ROW($A1)),3),"")</f>
        <v/>
      </c>
      <c r="N8" s="43">
        <v>5</v>
      </c>
      <c r="O8" s="25" t="str">
        <f t="array" ref="O8">IFERROR(INDEX($B$4:$H$27,SMALL(IF($B$4:$B$27=N$8,ROW($B$4:$B$27)-3),ROW($A1)),3),"")</f>
        <v/>
      </c>
      <c r="P8" s="43">
        <v>6</v>
      </c>
      <c r="Q8" s="25" t="str">
        <f t="array" ref="Q8">IFERROR(INDEX($B$4:$H$27,SMALL(IF($B$4:$B$27=P$8,ROW($B$4:$B$27)-3),ROW($A1)),3),"")</f>
        <v/>
      </c>
      <c r="R8" s="43">
        <v>7</v>
      </c>
      <c r="S8" s="58" t="str">
        <f t="array" ref="S8">IFERROR(INDEX($B$4:$H$27,SMALL(IF($B$4:$B$27=R$8,ROW($B$4:$B$27)-3),ROW($A1)),3),"")</f>
        <v>PRE-REL. PCE3</v>
      </c>
      <c r="T8" s="43">
        <v>8</v>
      </c>
      <c r="U8" s="25" t="str">
        <f t="array" ref="U8">IFERROR(INDEX($B$4:$H$27,SMALL(IF($B$4:$B$27=T$8,ROW($B$4:$B$27)-3),ROW($A1)),3),"")</f>
        <v/>
      </c>
      <c r="V8" s="43">
        <v>9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>
        <v>7</v>
      </c>
      <c r="C9" s="145">
        <v>0.66666666666666663</v>
      </c>
      <c r="D9" s="152" t="s">
        <v>113</v>
      </c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53"/>
      <c r="S9" s="54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>
        <v>14</v>
      </c>
      <c r="C10" s="145">
        <v>0.66666666666666663</v>
      </c>
      <c r="D10" s="152" t="s">
        <v>113</v>
      </c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55"/>
      <c r="S10" s="54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>
        <v>28</v>
      </c>
      <c r="C11" s="113">
        <v>0.66666666666666663</v>
      </c>
      <c r="D11" s="152" t="s">
        <v>117</v>
      </c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56"/>
      <c r="S11" s="5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x14ac:dyDescent="0.25">
      <c r="A12" s="68"/>
      <c r="B12" s="107">
        <v>13</v>
      </c>
      <c r="C12" s="108"/>
      <c r="D12" s="152" t="s">
        <v>118</v>
      </c>
      <c r="E12" s="153"/>
      <c r="F12" s="153"/>
      <c r="G12" s="153"/>
      <c r="H12" s="154"/>
      <c r="I12" s="70"/>
      <c r="J12" s="26">
        <v>10</v>
      </c>
      <c r="K12" s="29" t="str">
        <f t="array" ref="K12">IFERROR(INDEX($B$4:$H$27,SMALL(IF($B$4:$B$27=J$12,ROW($B$4:$B$27)-3),ROW($A$1)),3),"")</f>
        <v/>
      </c>
      <c r="L12" s="43">
        <v>11</v>
      </c>
      <c r="M12" s="25" t="str">
        <f t="array" ref="M12">IFERROR(INDEX($B$4:$H$27,SMALL(IF($B$4:$B$27=L$12,ROW($B$4:$B$27)-3),ROW($A$1)),3),"")</f>
        <v/>
      </c>
      <c r="N12" s="43">
        <v>12</v>
      </c>
      <c r="O12" s="25" t="str">
        <f t="array" ref="O12">IFERROR(INDEX($B$4:$H$27,SMALL(IF($B$4:$B$27=N$12,ROW($B$4:$B$27)-3),ROW($A$1)),3),"")</f>
        <v/>
      </c>
      <c r="P12" s="43">
        <v>13</v>
      </c>
      <c r="Q12" s="52" t="str">
        <f t="array" ref="Q12">IFERROR(INDEX($B$4:$H$27,SMALL(IF($B$4:$B$27=P$12,ROW($B$4:$B$27)-3),ROW($A$1)),3),"")</f>
        <v>PC4 EMBARCADOS</v>
      </c>
      <c r="R12" s="43">
        <v>14</v>
      </c>
      <c r="S12" s="58" t="str">
        <f t="array" ref="S12">IFERROR(INDEX($B$4:$H$27,SMALL(IF($B$4:$B$27=R$12,ROW($B$4:$B$27)-3),ROW($A$1)),3),"")</f>
        <v>PRE-REL. PCE3</v>
      </c>
      <c r="T12" s="43">
        <v>15</v>
      </c>
      <c r="U12" s="52" t="str">
        <f t="array" ref="U12">IFERROR(INDEX($B$4:$H$27,SMALL(IF($B$4:$B$27=T$12,ROW($B$4:$B$27)-3),ROW($A$1)),3),"")</f>
        <v>LAB. FTRANS</v>
      </c>
      <c r="V12" s="28">
        <v>16</v>
      </c>
      <c r="W12" s="29" t="str">
        <f t="array" ref="W12">IFERROR(INDEX($B$4:$H$27,SMALL(IF($B$4:$B$27=V$12,ROW($B$4:$B$27)-3),ROW($A$1)),3),"")</f>
        <v/>
      </c>
      <c r="X12" s="66"/>
    </row>
    <row r="13" spans="1:24" ht="15" customHeight="1" x14ac:dyDescent="0.25">
      <c r="A13" s="68"/>
      <c r="B13" s="105">
        <v>20</v>
      </c>
      <c r="C13" s="106"/>
      <c r="D13" s="152" t="s">
        <v>118</v>
      </c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62"/>
      <c r="Q13" s="54" t="str">
        <f t="array" ref="Q13">IFERROR(INDEX($B$4:$H$27,SMALL(IF($B$4:$B$27=P$12,ROW($B$4:$B$27)-3),ROW($A$2)),3),"")</f>
        <v>REL. PCE3</v>
      </c>
      <c r="R13" s="53"/>
      <c r="S13" s="54" t="str">
        <f t="array" ref="S13">IFERROR(INDEX($B$4:$H$27,SMALL(IF($B$4:$B$27=R$12,ROW($B$4:$B$27)-3),ROW($A$2)),3),"")</f>
        <v/>
      </c>
      <c r="T13" s="53"/>
      <c r="U13" s="54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>
        <v>15</v>
      </c>
      <c r="C14" s="108"/>
      <c r="D14" s="152" t="s">
        <v>119</v>
      </c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59"/>
      <c r="Q14" s="54" t="str">
        <f t="array" ref="Q14">IFERROR(INDEX($B$4:$H$27,SMALL(IF($B$4:$B$27=P$12,ROW($B$4:$B$27)-3),ROW($A$3)),3),"")</f>
        <v/>
      </c>
      <c r="R14" s="55"/>
      <c r="S14" s="54" t="str">
        <f t="array" ref="S14">IFERROR(INDEX($B$4:$H$27,SMALL(IF($B$4:$B$27=R$12,ROW($B$4:$B$27)-3),ROW($A$3)),3),"")</f>
        <v/>
      </c>
      <c r="T14" s="55"/>
      <c r="U14" s="54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>
        <v>26</v>
      </c>
      <c r="C15" s="106"/>
      <c r="D15" s="152" t="s">
        <v>120</v>
      </c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60"/>
      <c r="Q15" s="54" t="str">
        <f t="array" ref="Q15">IFERROR(INDEX($B$4:$H$27,SMALL(IF($B$4:$B$27=P$12,ROW($B$4:$B$27)-3),ROW($A$4)),3),"")</f>
        <v/>
      </c>
      <c r="R15" s="56"/>
      <c r="S15" s="57" t="str">
        <f t="array" ref="S15">IFERROR(INDEX($B$4:$H$27,SMALL(IF($B$4:$B$27=R$12,ROW($B$4:$B$27)-3),ROW($A$4)),3),"")</f>
        <v/>
      </c>
      <c r="T15" s="56"/>
      <c r="U15" s="54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>
        <v>20</v>
      </c>
      <c r="C16" s="108"/>
      <c r="D16" s="152" t="s">
        <v>127</v>
      </c>
      <c r="E16" s="153"/>
      <c r="F16" s="153"/>
      <c r="G16" s="153"/>
      <c r="H16" s="154"/>
      <c r="J16" s="26">
        <v>17</v>
      </c>
      <c r="K16" s="29" t="str">
        <f t="array" ref="K16">IFERROR(INDEX($B$4:$H$27,SMALL(IF($B$4:$B$27=J$16,ROW($B$4:$B$27)-3),ROW($A1)),3),"")</f>
        <v/>
      </c>
      <c r="L16" s="43">
        <v>18</v>
      </c>
      <c r="M16" s="58" t="str">
        <f t="array" ref="M16">IFERROR(INDEX($B$4:$H$27,SMALL(IF($B$4:$B$27=L$16,ROW($B$4:$B$27)-3),ROW($A1)),3),"")</f>
        <v>P2 EST</v>
      </c>
      <c r="N16" s="43">
        <v>19</v>
      </c>
      <c r="O16" s="25" t="str">
        <f t="array" ref="O16">IFERROR(INDEX($B$4:$H$27,SMALL(IF($B$4:$B$27=N$16,ROW($B$4:$B$27)-3),ROW($A1)),3),"")</f>
        <v/>
      </c>
      <c r="P16" s="43">
        <v>20</v>
      </c>
      <c r="Q16" s="52" t="str">
        <f t="array" ref="Q16">IFERROR(INDEX($B$4:$H$27,SMALL(IF($B$4:$B$27=P$16,ROW($B$4:$B$27)-3),ROW($A1)),3),"")</f>
        <v>REL. PCE3</v>
      </c>
      <c r="R16" s="43">
        <v>21</v>
      </c>
      <c r="S16" s="25" t="str">
        <f t="array" ref="S16">IFERROR(INDEX($B$4:$H$27,SMALL(IF($B$4:$B$27=R$16,ROW($B$4:$B$27)-3),ROW($A1)),3),"")</f>
        <v/>
      </c>
      <c r="T16" s="43">
        <v>22</v>
      </c>
      <c r="U16" s="27" t="str">
        <f t="array" ref="U16">IFERROR(INDEX($B$4:$H$27,SMALL(IF($B$4:$B$27=T$16,ROW($B$4:$B$27)-3),ROW($A1)),3),"")</f>
        <v/>
      </c>
      <c r="V16" s="26">
        <v>23</v>
      </c>
      <c r="W16" s="29" t="str">
        <f t="array" ref="W16">IFERROR(INDEX($B$4:$H$27,SMALL(IF($B$4:$B$27=V$16,ROW($B$4:$B$27)-3),ROW($A1)),3),"")</f>
        <v/>
      </c>
      <c r="X16" s="66"/>
    </row>
    <row r="17" spans="1:24" x14ac:dyDescent="0.25">
      <c r="A17" s="68"/>
      <c r="B17" s="107">
        <v>25</v>
      </c>
      <c r="C17" s="108"/>
      <c r="D17" s="152" t="s">
        <v>128</v>
      </c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53"/>
      <c r="M17" s="54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62"/>
      <c r="Q17" s="54" t="str">
        <f t="array" ref="Q17">IFERROR(INDEX($B$4:$H$27,SMALL(IF($B$4:$B$27=P$16,ROW($B$4:$B$27)-3),ROW($A2)),3),"")</f>
        <v>START T3 (IA)</v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>
        <v>27</v>
      </c>
      <c r="C18" s="106"/>
      <c r="D18" s="152" t="s">
        <v>128</v>
      </c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59"/>
      <c r="M18" s="54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59"/>
      <c r="Q18" s="54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J19" s="47"/>
      <c r="K19" s="40" t="str">
        <f t="array" ref="K19">IFERROR(INDEX($B$4:$H$27,SMALL(IF($B$4:$B$27=J$16,ROW($B$4:$B$27)-3),ROW($A4)),3),"")</f>
        <v/>
      </c>
      <c r="L19" s="60"/>
      <c r="M19" s="5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60"/>
      <c r="Q19" s="5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24</v>
      </c>
      <c r="K20" s="29" t="str">
        <f t="array" ref="K20">IFERROR(INDEX($B$4:$H$27,SMALL(IF($B$4:$B$27=J$20,ROW($B$4:$B$27)-3),ROW($A1)),3),"")</f>
        <v/>
      </c>
      <c r="L20" s="28">
        <v>25</v>
      </c>
      <c r="M20" s="58" t="str">
        <f t="array" ref="M20">IFERROR(INDEX($B$4:$H$27,SMALL(IF($B$4:$B$27=L$20,ROW($B$4:$B$27)-3),ROW($A1)),3),"")</f>
        <v>P3 TCE3</v>
      </c>
      <c r="N20" s="43">
        <v>26</v>
      </c>
      <c r="O20" s="58" t="str">
        <f t="array" ref="O20">IFERROR(INDEX($B$4:$H$27,SMALL(IF($B$4:$B$27=N$20,ROW($B$4:$B$27)-3),ROW($A1)),3),"")</f>
        <v>P1 LAB FTRANS</v>
      </c>
      <c r="P20" s="43">
        <v>27</v>
      </c>
      <c r="Q20" s="58" t="str">
        <f t="array" ref="Q20">IFERROR(INDEX($B$4:$H$27,SMALL(IF($B$4:$B$27=P$20,ROW($B$4:$B$27)-3),ROW($A1)),3),"")</f>
        <v>PF EMBARCADOS</v>
      </c>
      <c r="R20" s="28">
        <v>28</v>
      </c>
      <c r="S20" s="58" t="str">
        <f t="array" ref="S20">IFERROR(INDEX($B$4:$H$27,SMALL(IF($B$4:$B$27=R$20,ROW($B$4:$B$27)-3),ROW($A1)),3),"")</f>
        <v>P3 FTRANS</v>
      </c>
      <c r="T20" s="43">
        <v>29</v>
      </c>
      <c r="U20" s="25" t="str">
        <f t="array" ref="U20">IFERROR(INDEX($B$4:$H$27,SMALL(IF($B$4:$B$27=T$20,ROW($B$4:$B$27)-3),ROW($A1)),3),"")</f>
        <v/>
      </c>
      <c r="V20" s="43">
        <v>30</v>
      </c>
      <c r="W20" s="42" t="str">
        <f t="array" ref="W20">IFERROR(INDEX($B$4:$H$27,SMALL(IF($B$4:$B$27=V$20,ROW($B$4:$B$27)-3),ROW($A1)),3),"")</f>
        <v/>
      </c>
      <c r="X20" s="66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53"/>
      <c r="M21" s="54" t="str">
        <f t="array" ref="M21">IFERROR(INDEX($B$4:$H$27,SMALL(IF($B$4:$B$27=L$20,ROW($B$4:$B$27)-3),ROW($A2)),3),"")</f>
        <v>ENTREGA T3 (IA)</v>
      </c>
      <c r="N21" s="62"/>
      <c r="O21" s="54" t="str">
        <f t="array" ref="O21">IFERROR(INDEX($B$4:$H$27,SMALL(IF($B$4:$B$27=N$20,ROW($B$4:$B$27)-3),ROW($A2)),3),"")</f>
        <v/>
      </c>
      <c r="P21" s="62"/>
      <c r="Q21" s="54" t="str">
        <f t="array" ref="Q21">IFERROR(INDEX($B$4:$H$27,SMALL(IF($B$4:$B$27=P$20,ROW($B$4:$B$27)-3),ROW($A2)),3),"")</f>
        <v>ENTREGA T3 (IA)</v>
      </c>
      <c r="R21" s="53"/>
      <c r="S21" s="54" t="str">
        <f t="array" ref="S21">IFERROR(INDEX($B$4:$H$27,SMALL(IF($B$4:$B$27=R$20,ROW($B$4:$B$27)-3),ROW($A2)),3),"")</f>
        <v>APRES. PROJ. PCE3</v>
      </c>
      <c r="T21" s="45"/>
      <c r="U21" s="31" t="str">
        <f t="array" ref="U21">IFERROR(INDEX($B$4:$H$27,SMALL(IF($B$4:$B$27=T$20,ROW($B$4:$B$27)-3),ROW($A2)),3),"")</f>
        <v/>
      </c>
      <c r="V21" s="63"/>
      <c r="W21" s="35" t="str">
        <f t="array" ref="W21">IFERROR(INDEX($B$4:$H$27,SMALL(IF($B$4:$B$27=V$20,ROW($B$4:$B$27)-3),ROW($A2)),3),"")</f>
        <v/>
      </c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59"/>
      <c r="M22" s="54" t="str">
        <f t="array" ref="M22">IFERROR(INDEX($B$4:$H$27,SMALL(IF($B$4:$B$27=L$20,ROW($B$4:$B$27)-3),ROW($A3)),3),"")</f>
        <v/>
      </c>
      <c r="N22" s="59"/>
      <c r="O22" s="54" t="str">
        <f t="array" ref="O22">IFERROR(INDEX($B$4:$H$27,SMALL(IF($B$4:$B$27=N$20,ROW($B$4:$B$27)-3),ROW($A3)),3),"")</f>
        <v/>
      </c>
      <c r="P22" s="59"/>
      <c r="Q22" s="54" t="str">
        <f t="array" ref="Q22">IFERROR(INDEX($B$4:$H$27,SMALL(IF($B$4:$B$27=P$20,ROW($B$4:$B$27)-3),ROW($A3)),3),"")</f>
        <v/>
      </c>
      <c r="R22" s="59"/>
      <c r="S22" s="54" t="str">
        <f t="array" ref="S22">IFERROR(INDEX($B$4:$H$27,SMALL(IF($B$4:$B$27=R$20,ROW($B$4:$B$27)-3),ROW($A3)),3),"")</f>
        <v/>
      </c>
      <c r="T22" s="33"/>
      <c r="U22" s="31" t="str">
        <f t="array" ref="U22">IFERROR(INDEX($B$4:$H$27,SMALL(IF($B$4:$B$27=T$20,ROW($B$4:$B$27)-3),ROW($A3)),3),"")</f>
        <v/>
      </c>
      <c r="V22" s="34"/>
      <c r="W22" s="35" t="str">
        <f t="array" ref="W22">IFERROR(INDEX($B$4:$H$27,SMALL(IF($B$4:$B$27=V$20,ROW($B$4:$B$27)-3),ROW($A3)),3),"")</f>
        <v/>
      </c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60"/>
      <c r="M23" s="57" t="str">
        <f t="array" ref="M23">IFERROR(INDEX($B$4:$H$27,SMALL(IF($B$4:$B$27=L$20,ROW($B$4:$B$27)-3),ROW($A4)),3),"")</f>
        <v/>
      </c>
      <c r="N23" s="60"/>
      <c r="O23" s="57" t="str">
        <f t="array" ref="O23">IFERROR(INDEX($B$4:$H$27,SMALL(IF($B$4:$B$27=N$20,ROW($B$4:$B$27)-3),ROW($A4)),3),"")</f>
        <v/>
      </c>
      <c r="P23" s="60"/>
      <c r="Q23" s="57" t="str">
        <f t="array" ref="Q23">IFERROR(INDEX($B$4:$H$27,SMALL(IF($B$4:$B$27=P$20,ROW($B$4:$B$27)-3),ROW($A4)),3),"")</f>
        <v/>
      </c>
      <c r="R23" s="60"/>
      <c r="S23" s="57" t="str">
        <f t="array" ref="S23">IFERROR(INDEX($B$4:$H$27,SMALL(IF($B$4:$B$27=R$20,ROW($B$4:$B$27)-3),ROW($A4)),3),"")</f>
        <v/>
      </c>
      <c r="T23" s="38"/>
      <c r="U23" s="37" t="str">
        <f t="array" ref="U23">IFERROR(INDEX($B$4:$H$27,SMALL(IF($B$4:$B$27=T$20,ROW($B$4:$B$27)-3),ROW($A4)),3),"")</f>
        <v/>
      </c>
      <c r="V23" s="39"/>
      <c r="W23" s="40" t="str">
        <f t="array" ref="W23">IFERROR(INDEX($B$4:$H$27,SMALL(IF($B$4:$B$27=V$20,ROW($B$4:$B$27)-3),ROW($A4)),3),"")</f>
        <v/>
      </c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/>
    <row r="29" spans="1:24" s="66" customFormat="1" hidden="1" x14ac:dyDescent="0.25"/>
    <row r="30" spans="1:24" s="66" customFormat="1" hidden="1" x14ac:dyDescent="0.25"/>
  </sheetData>
  <sheetProtection algorithmName="SHA-512" hashValue="+j7772p/sQ+Qxv2i2d8WAIXy11eeqVXX3loc71grzVNZB538mlWTj+6oYNfxpvnOe0c2RRJKz1J8PjDvEBdxIg==" saltValue="l6Pvj/TGCFCzIWg54akdOw==" spinCount="100000" sheet="1" objects="1" scenarios="1" selectLockedCells="1"/>
  <mergeCells count="50">
    <mergeCell ref="D24:H24"/>
    <mergeCell ref="D25:H25"/>
    <mergeCell ref="D26:H26"/>
    <mergeCell ref="D27:H27"/>
    <mergeCell ref="D16:H16"/>
    <mergeCell ref="D17:H17"/>
    <mergeCell ref="D18:H18"/>
    <mergeCell ref="D19:H19"/>
    <mergeCell ref="D20:H20"/>
    <mergeCell ref="D21:H21"/>
    <mergeCell ref="D22:H22"/>
    <mergeCell ref="D23:H23"/>
    <mergeCell ref="D12:H12"/>
    <mergeCell ref="D13:H13"/>
    <mergeCell ref="D14:H14"/>
    <mergeCell ref="D15:H15"/>
    <mergeCell ref="B2:H2"/>
    <mergeCell ref="D3:H3"/>
    <mergeCell ref="D5:H5"/>
    <mergeCell ref="D6:H6"/>
    <mergeCell ref="D7:H7"/>
    <mergeCell ref="D8:H8"/>
    <mergeCell ref="D9:H9"/>
    <mergeCell ref="D10:H10"/>
    <mergeCell ref="D11:H11"/>
    <mergeCell ref="J2:K2"/>
    <mergeCell ref="M2:U2"/>
    <mergeCell ref="J3:K3"/>
    <mergeCell ref="L3:M3"/>
    <mergeCell ref="D4:H4"/>
    <mergeCell ref="N3:O3"/>
    <mergeCell ref="P3:Q3"/>
    <mergeCell ref="R3:S3"/>
    <mergeCell ref="T3:U3"/>
    <mergeCell ref="V3:W3"/>
    <mergeCell ref="J5:K5"/>
    <mergeCell ref="J6:K6"/>
    <mergeCell ref="J7:K7"/>
    <mergeCell ref="L5:M5"/>
    <mergeCell ref="N5:O5"/>
    <mergeCell ref="P5:Q5"/>
    <mergeCell ref="R5:S5"/>
    <mergeCell ref="L6:M6"/>
    <mergeCell ref="N6:O6"/>
    <mergeCell ref="P6:Q6"/>
    <mergeCell ref="R6:S6"/>
    <mergeCell ref="L7:M7"/>
    <mergeCell ref="N7:O7"/>
    <mergeCell ref="P7:Q7"/>
    <mergeCell ref="R7:S7"/>
  </mergeCells>
  <conditionalFormatting sqref="B4:H27">
    <cfRule type="notContainsBlanks" dxfId="22" priority="1">
      <formula>LEN(TRIM(B4))&gt;0</formula>
    </cfRule>
  </conditionalFormatting>
  <hyperlinks>
    <hyperlink ref="J2:K2" location="Maio!A1" display="←  Maio"/>
    <hyperlink ref="W2" location="Julho!A1" display="Julho  →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Z30"/>
  <sheetViews>
    <sheetView showGridLines="0" workbookViewId="0">
      <selection activeCell="W2" sqref="W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5" width="9.140625" customWidth="1"/>
    <col min="6" max="6" width="8.42578125" customWidth="1"/>
    <col min="7" max="7" width="6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6.75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24</v>
      </c>
      <c r="K2" s="176"/>
      <c r="L2" s="17"/>
      <c r="M2" s="164" t="s">
        <v>65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25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03"/>
      <c r="C4" s="104"/>
      <c r="D4" s="152"/>
      <c r="E4" s="153"/>
      <c r="F4" s="153"/>
      <c r="G4" s="153"/>
      <c r="H4" s="154"/>
      <c r="I4" s="70"/>
      <c r="J4" s="26">
        <v>1</v>
      </c>
      <c r="K4" s="29" t="str">
        <f t="array" ref="K4">IFERROR(INDEX($B$4:$H$27,SMALL(IF($B$4:$B$27=J$4,ROW($B$4:$B$27)-3),ROW($A1)),3),"")</f>
        <v/>
      </c>
      <c r="L4" s="26">
        <v>2</v>
      </c>
      <c r="M4" s="27"/>
      <c r="N4" s="26">
        <v>3</v>
      </c>
      <c r="O4" s="27" t="str">
        <f t="array" ref="O4">IFERROR(INDEX($B$4:$H$27,SMALL(IF($B$4:$B$27=N$4,ROW($B$4:$B$27)-3),ROW($A1)),3),"")</f>
        <v/>
      </c>
      <c r="P4" s="28">
        <v>4</v>
      </c>
      <c r="Q4" s="27" t="str">
        <f t="array" ref="Q4">IFERROR(INDEX($B$4:$H$27,SMALL(IF($B$4:$B$27=P$4,ROW($B$4:$B$27)-3),ROW($A1)),3),"")</f>
        <v/>
      </c>
      <c r="R4" s="26">
        <v>5</v>
      </c>
      <c r="S4" s="27" t="str">
        <f t="array" ref="S4">IFERROR(INDEX($B$4:$H$27,SMALL(IF($B$4:$B$27=R$4,ROW($B$4:$B$27)-3),ROW($A1)),3),"")</f>
        <v/>
      </c>
      <c r="T4" s="26">
        <v>6</v>
      </c>
      <c r="U4" s="27" t="str">
        <f t="array" ref="U4">IFERROR(INDEX($B$4:$H$27,SMALL(IF($B$4:$B$27=T$4,ROW($B$4:$B$27)-3),ROW($A1)),3),"")</f>
        <v/>
      </c>
      <c r="V4" s="26">
        <v>7</v>
      </c>
      <c r="W4" s="29" t="str">
        <f t="array" ref="W4">IFERROR(INDEX($B$4:$H$27,SMALL(IF($B$4:$B$27=V$4,ROW($B$4:$B$27)-3),ROW($A1)),3),"")</f>
        <v/>
      </c>
      <c r="X4" s="66"/>
    </row>
    <row r="5" spans="1:24" x14ac:dyDescent="0.25">
      <c r="A5" s="138">
        <v>7</v>
      </c>
      <c r="B5" s="103"/>
      <c r="C5" s="104"/>
      <c r="D5" s="152"/>
      <c r="E5" s="153"/>
      <c r="F5" s="153"/>
      <c r="G5" s="153"/>
      <c r="H5" s="154"/>
      <c r="I5" s="70"/>
      <c r="J5" s="44"/>
      <c r="K5" s="35" t="str">
        <f t="array" ref="K5">IFERROR(INDEX($B$4:$H$27,SMALL(IF($B$4:$B$27=J$4,ROW($B$4:$B$27)-3),ROW($A2)),3),"")</f>
        <v/>
      </c>
      <c r="L5" s="30"/>
      <c r="M5" s="31" t="str">
        <f t="array" ref="M5">IFERROR(INDEX($B$4:$H$27,SMALL(IF($B$4:$B$27=L$4,ROW($B$4:$B$27)-3),ROW($A2)),3),"")</f>
        <v/>
      </c>
      <c r="N5" s="32"/>
      <c r="O5" s="31" t="str">
        <f t="array" ref="O5">IFERROR(INDEX($B$4:$H$27,SMALL(IF($B$4:$B$27=N$4,ROW($B$4:$B$27)-3),ROW($A2)),3),"")</f>
        <v/>
      </c>
      <c r="P5" s="30"/>
      <c r="Q5" s="31" t="str">
        <f t="array" ref="Q5">IFERROR(INDEX($B$4:$H$27,SMALL(IF($B$4:$B$27=P$4,ROW($B$4:$B$27)-3),ROW($A2)),3),"")</f>
        <v/>
      </c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05"/>
      <c r="C6" s="106"/>
      <c r="D6" s="152"/>
      <c r="E6" s="153"/>
      <c r="F6" s="153"/>
      <c r="G6" s="153"/>
      <c r="H6" s="154"/>
      <c r="I6" s="70"/>
      <c r="J6" s="46"/>
      <c r="K6" s="35" t="str">
        <f t="array" ref="K6">IFERROR(INDEX($B$4:$H$27,SMALL(IF($B$4:$B$27=J$4,ROW($B$4:$B$27)-3),ROW($A3)),3),"")</f>
        <v/>
      </c>
      <c r="L6" s="32"/>
      <c r="M6" s="31" t="str">
        <f t="array" ref="M6">IFERROR(INDEX($B$4:$H$27,SMALL(IF($B$4:$B$27=L$4,ROW($B$4:$B$27)-3),ROW($A3)),3),"")</f>
        <v/>
      </c>
      <c r="N6" s="32"/>
      <c r="O6" s="31" t="str">
        <f t="array" ref="O6">IFERROR(INDEX($B$4:$H$27,SMALL(IF($B$4:$B$27=N$4,ROW($B$4:$B$27)-3),ROW($A3)),3),"")</f>
        <v/>
      </c>
      <c r="P6" s="33"/>
      <c r="Q6" s="31" t="str">
        <f t="array" ref="Q6">IFERROR(INDEX($B$4:$H$27,SMALL(IF($B$4:$B$27=P$4,ROW($B$4:$B$27)-3),ROW($A3)),3),"")</f>
        <v/>
      </c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7"/>
      <c r="C7" s="108"/>
      <c r="D7" s="152"/>
      <c r="E7" s="153"/>
      <c r="F7" s="153"/>
      <c r="G7" s="153"/>
      <c r="H7" s="154"/>
      <c r="I7" s="70"/>
      <c r="J7" s="47"/>
      <c r="K7" s="40" t="str">
        <f t="array" ref="K7">IFERROR(INDEX($B$4:$H$27,SMALL(IF($B$4:$B$27=J$4,ROW($B$4:$B$27)-3),ROW($A4)),3),"")</f>
        <v/>
      </c>
      <c r="L7" s="36"/>
      <c r="M7" s="37" t="str">
        <f t="array" ref="M7">IFERROR(INDEX($B$4:$H$27,SMALL(IF($B$4:$B$27=L$4,ROW($B$4:$B$27)-3),ROW($A4)),3),"")</f>
        <v/>
      </c>
      <c r="N7" s="38"/>
      <c r="O7" s="37" t="str">
        <f t="array" ref="O7">IFERROR(INDEX($B$4:$H$27,SMALL(IF($B$4:$B$27=N$4,ROW($B$4:$B$27)-3),ROW($A4)),3),"")</f>
        <v/>
      </c>
      <c r="P7" s="38"/>
      <c r="Q7" s="37" t="str">
        <f t="array" ref="Q7">IFERROR(INDEX($B$4:$H$27,SMALL(IF($B$4:$B$27=P$4,ROW($B$4:$B$27)-3),ROW($A4)),3),"")</f>
        <v/>
      </c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7"/>
      <c r="C8" s="108"/>
      <c r="D8" s="152"/>
      <c r="E8" s="153"/>
      <c r="F8" s="153"/>
      <c r="G8" s="153"/>
      <c r="H8" s="154"/>
      <c r="I8" s="70"/>
      <c r="J8" s="41">
        <v>8</v>
      </c>
      <c r="K8" s="42" t="str">
        <f t="array" ref="K8">IFERROR(INDEX($B$4:$H$27,SMALL(IF($B$4:$B$27=J$8,ROW($B$4:$B$27)-3),ROW($A1)),3),"")</f>
        <v/>
      </c>
      <c r="L8" s="43">
        <v>9</v>
      </c>
      <c r="M8" s="25" t="str">
        <f t="array" ref="M8">IFERROR(INDEX($B$4:$H$27,SMALL(IF($B$4:$B$27=L$8,ROW($B$4:$B$27)-3),ROW($A1)),3),"")</f>
        <v/>
      </c>
      <c r="N8" s="43">
        <v>10</v>
      </c>
      <c r="O8" s="25" t="str">
        <f t="array" ref="O8">IFERROR(INDEX($B$4:$H$27,SMALL(IF($B$4:$B$27=N$8,ROW($B$4:$B$27)-3),ROW($A1)),3),"")</f>
        <v/>
      </c>
      <c r="P8" s="43">
        <v>11</v>
      </c>
      <c r="Q8" s="25" t="str">
        <f t="array" ref="Q8">IFERROR(INDEX($B$4:$H$27,SMALL(IF($B$4:$B$27=P$8,ROW($B$4:$B$27)-3),ROW($A1)),3),"")</f>
        <v/>
      </c>
      <c r="R8" s="43">
        <v>12</v>
      </c>
      <c r="S8" s="25" t="str">
        <f t="array" ref="S8">IFERROR(INDEX($B$4:$H$27,SMALL(IF($B$4:$B$27=R$8,ROW($B$4:$B$27)-3),ROW($A1)),3),"")</f>
        <v/>
      </c>
      <c r="T8" s="43">
        <v>13</v>
      </c>
      <c r="U8" s="25" t="str">
        <f t="array" ref="U8">IFERROR(INDEX($B$4:$H$27,SMALL(IF($B$4:$B$27=T$8,ROW($B$4:$B$27)-3),ROW($A1)),3),"")</f>
        <v/>
      </c>
      <c r="V8" s="43">
        <v>14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/>
      <c r="C9" s="108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/>
      <c r="C10" s="108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15</v>
      </c>
      <c r="K12" s="29" t="str">
        <f t="array" ref="K12">IFERROR(INDEX($B$4:$H$27,SMALL(IF($B$4:$B$27=J$12,ROW($B$4:$B$27)-3),ROW($A$1)),3),"")</f>
        <v/>
      </c>
      <c r="L12" s="43">
        <v>16</v>
      </c>
      <c r="M12" s="25" t="str">
        <f t="array" ref="M12">IFERROR(INDEX($B$4:$H$27,SMALL(IF($B$4:$B$27=L$12,ROW($B$4:$B$27)-3),ROW($A$1)),3),"")</f>
        <v/>
      </c>
      <c r="N12" s="43">
        <v>17</v>
      </c>
      <c r="O12" s="25" t="str">
        <f t="array" ref="O12">IFERROR(INDEX($B$4:$H$27,SMALL(IF($B$4:$B$27=N$12,ROW($B$4:$B$27)-3),ROW($A$1)),3),"")</f>
        <v/>
      </c>
      <c r="P12" s="43">
        <v>18</v>
      </c>
      <c r="Q12" s="27" t="str">
        <f t="array" ref="Q12">IFERROR(INDEX($B$4:$H$27,SMALL(IF($B$4:$B$27=P$12,ROW($B$4:$B$27)-3),ROW($A$1)),3),"")</f>
        <v/>
      </c>
      <c r="R12" s="43">
        <v>19</v>
      </c>
      <c r="S12" s="25" t="str">
        <f t="array" ref="S12">IFERROR(INDEX($B$4:$H$27,SMALL(IF($B$4:$B$27=R$12,ROW($B$4:$B$27)-3),ROW($A$1)),3),"")</f>
        <v/>
      </c>
      <c r="T12" s="43">
        <v>20</v>
      </c>
      <c r="U12" s="27" t="str">
        <f t="array" ref="U12">IFERROR(INDEX($B$4:$H$27,SMALL(IF($B$4:$B$27=T$12,ROW($B$4:$B$27)-3),ROW($A$1)),3),"")</f>
        <v/>
      </c>
      <c r="V12" s="28">
        <v>21</v>
      </c>
      <c r="W12" s="29" t="str">
        <f t="array" ref="W12">IFERROR(INDEX($B$4:$H$27,SMALL(IF($B$4:$B$27=V$12,ROW($B$4:$B$27)-3),ROW($A$1)),3),"")</f>
        <v/>
      </c>
      <c r="X12" s="66"/>
    </row>
    <row r="13" spans="1:24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/>
      <c r="C16" s="108"/>
      <c r="D16" s="152"/>
      <c r="E16" s="153"/>
      <c r="F16" s="153"/>
      <c r="G16" s="153"/>
      <c r="H16" s="154"/>
      <c r="J16" s="26">
        <v>22</v>
      </c>
      <c r="K16" s="29" t="str">
        <f t="array" ref="K16">IFERROR(INDEX($B$4:$H$27,SMALL(IF($B$4:$B$27=J$16,ROW($B$4:$B$27)-3),ROW($A1)),3),"")</f>
        <v/>
      </c>
      <c r="L16" s="43">
        <v>23</v>
      </c>
      <c r="M16" s="25" t="str">
        <f t="array" ref="M16">IFERROR(INDEX($B$4:$H$27,SMALL(IF($B$4:$B$27=L$16,ROW($B$4:$B$27)-3),ROW($A1)),3),"")</f>
        <v/>
      </c>
      <c r="N16" s="43">
        <v>24</v>
      </c>
      <c r="O16" s="25" t="str">
        <f t="array" ref="O16">IFERROR(INDEX($B$4:$H$27,SMALL(IF($B$4:$B$27=N$16,ROW($B$4:$B$27)-3),ROW($A1)),3),"")</f>
        <v/>
      </c>
      <c r="P16" s="43">
        <v>25</v>
      </c>
      <c r="Q16" s="27" t="str">
        <f t="array" ref="Q16">IFERROR(INDEX($B$4:$H$27,SMALL(IF($B$4:$B$27=P$16,ROW($B$4:$B$27)-3),ROW($A1)),3),"")</f>
        <v/>
      </c>
      <c r="R16" s="43">
        <v>26</v>
      </c>
      <c r="S16" s="25" t="str">
        <f t="array" ref="S16">IFERROR(INDEX($B$4:$H$27,SMALL(IF($B$4:$B$27=R$16,ROW($B$4:$B$27)-3),ROW($A1)),3),"")</f>
        <v/>
      </c>
      <c r="T16" s="43">
        <v>27</v>
      </c>
      <c r="U16" s="27" t="str">
        <f t="array" ref="U16">IFERROR(INDEX($B$4:$H$27,SMALL(IF($B$4:$B$27=T$16,ROW($B$4:$B$27)-3),ROW($A1)),3),"")</f>
        <v/>
      </c>
      <c r="V16" s="26">
        <v>28</v>
      </c>
      <c r="W16" s="29" t="str">
        <f t="array" ref="W16">IFERROR(INDEX($B$4:$H$27,SMALL(IF($B$4:$B$27=V$16,ROW($B$4:$B$27)-3),ROW($A1)),3),"")</f>
        <v/>
      </c>
      <c r="X16" s="66"/>
    </row>
    <row r="17" spans="1:24" x14ac:dyDescent="0.25">
      <c r="A17" s="68"/>
      <c r="B17" s="107"/>
      <c r="C17" s="108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I19" s="70"/>
      <c r="J19" s="39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29</v>
      </c>
      <c r="K20" s="29" t="str">
        <f t="array" ref="K20">IFERROR(INDEX($B$4:$H$27,SMALL(IF($B$4:$B$27=J$20,ROW($B$4:$B$27)-3),ROW($A1)),3),"")</f>
        <v/>
      </c>
      <c r="L20" s="28">
        <v>30</v>
      </c>
      <c r="M20" s="25" t="str">
        <f t="array" ref="M20">IFERROR(INDEX($B$4:$H$27,SMALL(IF($B$4:$B$27=L$20,ROW($B$4:$B$27)-3),ROW($A1)),3),"")</f>
        <v/>
      </c>
      <c r="N20" s="43">
        <v>31</v>
      </c>
      <c r="O20" s="25" t="str">
        <f t="array" ref="O20">IFERROR(INDEX($B$4:$H$27,SMALL(IF($B$4:$B$27=N$20,ROW($B$4:$B$27)-3),ROW($A1)),3),"")</f>
        <v/>
      </c>
      <c r="P20" s="79"/>
      <c r="Q20" s="80"/>
      <c r="R20" s="79"/>
      <c r="S20" s="80"/>
      <c r="T20" s="79"/>
      <c r="U20" s="80"/>
      <c r="V20" s="79"/>
      <c r="W20" s="80"/>
      <c r="X20" s="66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79"/>
      <c r="Q21" s="80"/>
      <c r="R21" s="79"/>
      <c r="S21" s="80"/>
      <c r="T21" s="79"/>
      <c r="U21" s="80"/>
      <c r="V21" s="79"/>
      <c r="W21" s="80"/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79"/>
      <c r="Q22" s="80"/>
      <c r="R22" s="79"/>
      <c r="S22" s="80"/>
      <c r="T22" s="102"/>
      <c r="U22" s="80"/>
      <c r="V22" s="79"/>
      <c r="W22" s="80"/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83"/>
      <c r="Q23" s="84"/>
      <c r="R23" s="83"/>
      <c r="S23" s="84"/>
      <c r="T23" s="81"/>
      <c r="U23" s="84"/>
      <c r="V23" s="83"/>
      <c r="W23" s="84"/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I24" s="68"/>
      <c r="J24" s="75"/>
      <c r="K24" s="66"/>
      <c r="L24" s="66"/>
      <c r="M24" s="66"/>
      <c r="N24" s="66"/>
      <c r="O24" s="66"/>
      <c r="P24" s="66"/>
      <c r="Q24" s="66"/>
      <c r="R24" s="66"/>
      <c r="S24" s="75"/>
      <c r="T24" s="75"/>
      <c r="U24" s="75"/>
      <c r="V24" s="75"/>
      <c r="W24" s="75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I25" s="68"/>
      <c r="J25" s="68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I26" s="68"/>
      <c r="J26" s="68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8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/>
    <row r="29" spans="1:24" s="66" customFormat="1" hidden="1" x14ac:dyDescent="0.25"/>
    <row r="30" spans="1:24" s="66" customFormat="1" hidden="1" x14ac:dyDescent="0.25"/>
  </sheetData>
  <sheetProtection algorithmName="SHA-512" hashValue="xCWnhgSyKmnFPBrByesIRg0KAdZ5GGqbdQrRlhVEgxV76TI1PnHvpGKWQ41JEPK+b8QCALUznk34psnW6xLHww==" saltValue="4N9T+cKUMtCwM1gyqqnf4A==" spinCount="100000" sheet="1" objects="1" scenarios="1" selectLockedCells="1"/>
  <mergeCells count="35">
    <mergeCell ref="D27:H27"/>
    <mergeCell ref="D22:H22"/>
    <mergeCell ref="D23:H23"/>
    <mergeCell ref="D16:H16"/>
    <mergeCell ref="D17:H17"/>
    <mergeCell ref="D24:H24"/>
    <mergeCell ref="D25:H25"/>
    <mergeCell ref="D26:H26"/>
    <mergeCell ref="D18:H18"/>
    <mergeCell ref="D19:H19"/>
    <mergeCell ref="D20:H20"/>
    <mergeCell ref="D21:H21"/>
    <mergeCell ref="D12:H12"/>
    <mergeCell ref="D13:H13"/>
    <mergeCell ref="D4:H4"/>
    <mergeCell ref="D5:H5"/>
    <mergeCell ref="D6:H6"/>
    <mergeCell ref="D7:H7"/>
    <mergeCell ref="D8:H8"/>
    <mergeCell ref="D14:H14"/>
    <mergeCell ref="D15:H15"/>
    <mergeCell ref="V3:W3"/>
    <mergeCell ref="B2:H2"/>
    <mergeCell ref="D3:H3"/>
    <mergeCell ref="J2:K2"/>
    <mergeCell ref="M2:U2"/>
    <mergeCell ref="J3:K3"/>
    <mergeCell ref="L3:M3"/>
    <mergeCell ref="N3:O3"/>
    <mergeCell ref="P3:Q3"/>
    <mergeCell ref="R3:S3"/>
    <mergeCell ref="T3:U3"/>
    <mergeCell ref="D9:H9"/>
    <mergeCell ref="D10:H10"/>
    <mergeCell ref="D11:H11"/>
  </mergeCells>
  <conditionalFormatting sqref="B4:H27">
    <cfRule type="notContainsBlanks" dxfId="21" priority="1">
      <formula>LEN(TRIM(B4))&gt;0</formula>
    </cfRule>
  </conditionalFormatting>
  <hyperlinks>
    <hyperlink ref="J2:K2" location="Junho!A1" display="←  Junho"/>
    <hyperlink ref="W2" location="Agosto!A1" display="Agosto  →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Z30"/>
  <sheetViews>
    <sheetView showGridLines="0" workbookViewId="0">
      <selection activeCell="W2" sqref="W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5" width="9.140625" customWidth="1"/>
    <col min="6" max="6" width="7.5703125" customWidth="1"/>
    <col min="7" max="7" width="7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7.5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26</v>
      </c>
      <c r="K2" s="176"/>
      <c r="L2" s="17"/>
      <c r="M2" s="164" t="s">
        <v>68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27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03">
        <v>13</v>
      </c>
      <c r="C4" s="104">
        <v>0</v>
      </c>
      <c r="D4" s="152" t="s">
        <v>67</v>
      </c>
      <c r="E4" s="153"/>
      <c r="F4" s="153"/>
      <c r="G4" s="153"/>
      <c r="H4" s="154"/>
      <c r="I4" s="70"/>
      <c r="J4" s="79"/>
      <c r="K4" s="80"/>
      <c r="L4" s="79"/>
      <c r="M4" s="80"/>
      <c r="N4" s="79"/>
      <c r="O4" s="100"/>
      <c r="P4" s="28">
        <v>1</v>
      </c>
      <c r="Q4" s="27" t="str">
        <f t="array" ref="Q4">IFERROR(INDEX($B$4:$H$27,SMALL(IF($B$4:$B$27=P$4,ROW($B$4:$B$27)-3),ROW($A1)),3),"")</f>
        <v/>
      </c>
      <c r="R4" s="26">
        <v>2</v>
      </c>
      <c r="S4" s="27" t="str">
        <f t="array" ref="S4">IFERROR(INDEX($B$4:$H$27,SMALL(IF($B$4:$B$27=R$4,ROW($B$4:$B$27)-3),ROW($A1)),3),"")</f>
        <v/>
      </c>
      <c r="T4" s="26">
        <v>3</v>
      </c>
      <c r="U4" s="27" t="str">
        <f t="array" ref="U4">IFERROR(INDEX($B$4:$H$27,SMALL(IF($B$4:$B$27=T$4,ROW($B$4:$B$27)-3),ROW($A1)),3),"")</f>
        <v/>
      </c>
      <c r="V4" s="26">
        <v>4</v>
      </c>
      <c r="W4" s="29" t="str">
        <f t="array" ref="W4">IFERROR(INDEX($B$4:$H$27,SMALL(IF($B$4:$B$27=V$4,ROW($B$4:$B$27)-3),ROW($A1)),3),"")</f>
        <v/>
      </c>
      <c r="X4" s="66"/>
    </row>
    <row r="5" spans="1:24" x14ac:dyDescent="0.25">
      <c r="A5" s="138">
        <v>8</v>
      </c>
      <c r="B5" s="103"/>
      <c r="C5" s="104"/>
      <c r="D5" s="152"/>
      <c r="E5" s="153"/>
      <c r="F5" s="153"/>
      <c r="G5" s="153"/>
      <c r="H5" s="154"/>
      <c r="I5" s="70"/>
      <c r="J5" s="168"/>
      <c r="K5" s="169"/>
      <c r="L5" s="79"/>
      <c r="M5" s="80"/>
      <c r="N5" s="79"/>
      <c r="O5" s="80"/>
      <c r="P5" s="30"/>
      <c r="Q5" s="31" t="str">
        <f t="array" ref="Q5">IFERROR(INDEX($B$4:$H$27,SMALL(IF($B$4:$B$27=P$4,ROW($B$4:$B$27)-3),ROW($A2)),3),"")</f>
        <v/>
      </c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05"/>
      <c r="C6" s="106"/>
      <c r="D6" s="152"/>
      <c r="E6" s="153"/>
      <c r="F6" s="153"/>
      <c r="G6" s="153"/>
      <c r="H6" s="154"/>
      <c r="I6" s="70"/>
      <c r="J6" s="170"/>
      <c r="K6" s="169"/>
      <c r="L6" s="79"/>
      <c r="M6" s="80"/>
      <c r="N6" s="79"/>
      <c r="O6" s="80"/>
      <c r="P6" s="33"/>
      <c r="Q6" s="31" t="str">
        <f t="array" ref="Q6">IFERROR(INDEX($B$4:$H$27,SMALL(IF($B$4:$B$27=P$4,ROW($B$4:$B$27)-3),ROW($A3)),3),"")</f>
        <v/>
      </c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7"/>
      <c r="C7" s="108"/>
      <c r="D7" s="152"/>
      <c r="E7" s="153"/>
      <c r="F7" s="153"/>
      <c r="G7" s="153"/>
      <c r="H7" s="154"/>
      <c r="I7" s="70"/>
      <c r="J7" s="171"/>
      <c r="K7" s="172"/>
      <c r="L7" s="83"/>
      <c r="M7" s="84"/>
      <c r="N7" s="83"/>
      <c r="O7" s="84"/>
      <c r="P7" s="38"/>
      <c r="Q7" s="37" t="str">
        <f t="array" ref="Q7">IFERROR(INDEX($B$4:$H$27,SMALL(IF($B$4:$B$27=P$4,ROW($B$4:$B$27)-3),ROW($A4)),3),"")</f>
        <v/>
      </c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7"/>
      <c r="C8" s="108"/>
      <c r="D8" s="152"/>
      <c r="E8" s="153"/>
      <c r="F8" s="153"/>
      <c r="G8" s="153"/>
      <c r="H8" s="154"/>
      <c r="I8" s="70"/>
      <c r="J8" s="41">
        <v>5</v>
      </c>
      <c r="K8" s="42" t="str">
        <f t="array" ref="K8">IFERROR(INDEX($B$4:$H$27,SMALL(IF($B$4:$B$27=J$8,ROW($B$4:$B$27)-3),ROW($A1)),3),"")</f>
        <v/>
      </c>
      <c r="L8" s="43">
        <v>6</v>
      </c>
      <c r="M8" s="25" t="str">
        <f t="array" ref="M8">IFERROR(INDEX($B$4:$H$27,SMALL(IF($B$4:$B$27=L$8,ROW($B$4:$B$27)-3),ROW($A1)),3),"")</f>
        <v/>
      </c>
      <c r="N8" s="43">
        <v>7</v>
      </c>
      <c r="O8" s="25" t="str">
        <f t="array" ref="O8">IFERROR(INDEX($B$4:$H$27,SMALL(IF($B$4:$B$27=N$8,ROW($B$4:$B$27)-3),ROW($A1)),3),"")</f>
        <v/>
      </c>
      <c r="P8" s="43">
        <v>8</v>
      </c>
      <c r="Q8" s="25" t="str">
        <f t="array" ref="Q8">IFERROR(INDEX($B$4:$H$27,SMALL(IF($B$4:$B$27=P$8,ROW($B$4:$B$27)-3),ROW($A1)),3),"")</f>
        <v/>
      </c>
      <c r="R8" s="43">
        <v>9</v>
      </c>
      <c r="S8" s="25" t="str">
        <f t="array" ref="S8">IFERROR(INDEX($B$4:$H$27,SMALL(IF($B$4:$B$27=R$8,ROW($B$4:$B$27)-3),ROW($A1)),3),"")</f>
        <v/>
      </c>
      <c r="T8" s="43">
        <v>10</v>
      </c>
      <c r="U8" s="25" t="str">
        <f t="array" ref="U8">IFERROR(INDEX($B$4:$H$27,SMALL(IF($B$4:$B$27=T$8,ROW($B$4:$B$27)-3),ROW($A1)),3),"")</f>
        <v/>
      </c>
      <c r="V8" s="43">
        <v>11</v>
      </c>
      <c r="W8" s="42" t="str">
        <f t="array" ref="W8">IFERROR(INDEX($B$4:$H$27,SMALL(IF($B$4:$B$27=V$8,ROW($B$4:$B$27)-3),ROW($A1)),3),"")</f>
        <v/>
      </c>
      <c r="X8" s="66"/>
    </row>
    <row r="9" spans="1:24" x14ac:dyDescent="0.25">
      <c r="A9" s="68"/>
      <c r="B9" s="107"/>
      <c r="C9" s="108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x14ac:dyDescent="0.25">
      <c r="A10" s="68"/>
      <c r="B10" s="107"/>
      <c r="C10" s="108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12</v>
      </c>
      <c r="K12" s="29" t="str">
        <f t="array" ref="K12">IFERROR(INDEX($B$4:$H$27,SMALL(IF($B$4:$B$27=J$12,ROW($B$4:$B$27)-3),ROW($A$1)),3),"")</f>
        <v/>
      </c>
      <c r="L12" s="43">
        <v>13</v>
      </c>
      <c r="M12" s="58" t="str">
        <f t="array" ref="M12">IFERROR(INDEX($B$4:$H$27,SMALL(IF($B$4:$B$27=L$12,ROW($B$4:$B$27)-3),ROW($A$1)),3),"")</f>
        <v>Dia dos Pais</v>
      </c>
      <c r="N12" s="43">
        <v>14</v>
      </c>
      <c r="O12" s="25" t="str">
        <f t="array" ref="O12">IFERROR(INDEX($B$4:$H$27,SMALL(IF($B$4:$B$27=N$12,ROW($B$4:$B$27)-3),ROW($A$1)),3),"")</f>
        <v/>
      </c>
      <c r="P12" s="43">
        <v>15</v>
      </c>
      <c r="Q12" s="27" t="str">
        <f t="array" ref="Q12">IFERROR(INDEX($B$4:$H$27,SMALL(IF($B$4:$B$27=P$12,ROW($B$4:$B$27)-3),ROW($A$1)),3),"")</f>
        <v/>
      </c>
      <c r="R12" s="43">
        <v>16</v>
      </c>
      <c r="S12" s="25" t="str">
        <f t="array" ref="S12">IFERROR(INDEX($B$4:$H$27,SMALL(IF($B$4:$B$27=R$12,ROW($B$4:$B$27)-3),ROW($A$1)),3),"")</f>
        <v/>
      </c>
      <c r="T12" s="43">
        <v>17</v>
      </c>
      <c r="U12" s="27" t="str">
        <f t="array" ref="U12">IFERROR(INDEX($B$4:$H$27,SMALL(IF($B$4:$B$27=T$12,ROW($B$4:$B$27)-3),ROW($A$1)),3),"")</f>
        <v/>
      </c>
      <c r="V12" s="28">
        <v>18</v>
      </c>
      <c r="W12" s="29" t="str">
        <f t="array" ref="W12">IFERROR(INDEX($B$4:$H$27,SMALL(IF($B$4:$B$27=V$12,ROW($B$4:$B$27)-3),ROW($A$1)),3),"")</f>
        <v/>
      </c>
      <c r="X12" s="66"/>
    </row>
    <row r="13" spans="1:24" ht="15" customHeight="1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62"/>
      <c r="M13" s="54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59"/>
      <c r="M14" s="54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60"/>
      <c r="M15" s="5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/>
      <c r="C16" s="108"/>
      <c r="D16" s="152"/>
      <c r="E16" s="153"/>
      <c r="F16" s="153"/>
      <c r="G16" s="153"/>
      <c r="H16" s="154"/>
      <c r="J16" s="26">
        <v>19</v>
      </c>
      <c r="K16" s="29" t="str">
        <f t="array" ref="K16">IFERROR(INDEX($B$4:$H$27,SMALL(IF($B$4:$B$27=J$16,ROW($B$4:$B$27)-3),ROW($A1)),3),"")</f>
        <v/>
      </c>
      <c r="L16" s="43">
        <v>20</v>
      </c>
      <c r="M16" s="25" t="str">
        <f t="array" ref="M16">IFERROR(INDEX($B$4:$H$27,SMALL(IF($B$4:$B$27=L$16,ROW($B$4:$B$27)-3),ROW($A1)),3),"")</f>
        <v/>
      </c>
      <c r="N16" s="43">
        <v>21</v>
      </c>
      <c r="O16" s="25" t="str">
        <f t="array" ref="O16">IFERROR(INDEX($B$4:$H$27,SMALL(IF($B$4:$B$27=N$16,ROW($B$4:$B$27)-3),ROW($A1)),3),"")</f>
        <v/>
      </c>
      <c r="P16" s="43">
        <v>22</v>
      </c>
      <c r="Q16" s="27" t="str">
        <f t="array" ref="Q16">IFERROR(INDEX($B$4:$H$27,SMALL(IF($B$4:$B$27=P$16,ROW($B$4:$B$27)-3),ROW($A1)),3),"")</f>
        <v/>
      </c>
      <c r="R16" s="43">
        <v>23</v>
      </c>
      <c r="S16" s="25" t="str">
        <f t="array" ref="S16">IFERROR(INDEX($B$4:$H$27,SMALL(IF($B$4:$B$27=R$16,ROW($B$4:$B$27)-3),ROW($A1)),3),"")</f>
        <v/>
      </c>
      <c r="T16" s="43">
        <v>24</v>
      </c>
      <c r="U16" s="27" t="str">
        <f t="array" ref="U16">IFERROR(INDEX($B$4:$H$27,SMALL(IF($B$4:$B$27=T$16,ROW($B$4:$B$27)-3),ROW($A1)),3),"")</f>
        <v/>
      </c>
      <c r="V16" s="26">
        <v>25</v>
      </c>
      <c r="W16" s="29" t="str">
        <f t="array" ref="W16">IFERROR(INDEX($B$4:$H$27,SMALL(IF($B$4:$B$27=V$16,ROW($B$4:$B$27)-3),ROW($A1)),3),"")</f>
        <v/>
      </c>
      <c r="X16" s="66"/>
    </row>
    <row r="17" spans="1:24" x14ac:dyDescent="0.25">
      <c r="A17" s="68"/>
      <c r="B17" s="107"/>
      <c r="C17" s="108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J19" s="47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26</v>
      </c>
      <c r="K20" s="29" t="str">
        <f t="array" ref="K20">IFERROR(INDEX($B$4:$H$27,SMALL(IF($B$4:$B$27=J$20,ROW($B$4:$B$27)-3),ROW($A1)),3),"")</f>
        <v/>
      </c>
      <c r="L20" s="28">
        <v>27</v>
      </c>
      <c r="M20" s="25" t="str">
        <f t="array" ref="M20">IFERROR(INDEX($B$4:$H$27,SMALL(IF($B$4:$B$27=L$20,ROW($B$4:$B$27)-3),ROW($A1)),3),"")</f>
        <v/>
      </c>
      <c r="N20" s="43">
        <v>28</v>
      </c>
      <c r="O20" s="25" t="str">
        <f t="array" ref="O20">IFERROR(INDEX($B$4:$H$27,SMALL(IF($B$4:$B$27=N$20,ROW($B$4:$B$27)-3),ROW($A1)),3),"")</f>
        <v/>
      </c>
      <c r="P20" s="43">
        <v>29</v>
      </c>
      <c r="Q20" s="25" t="str">
        <f t="array" ref="Q20">IFERROR(INDEX($B$4:$H$27,SMALL(IF($B$4:$B$27=P$20,ROW($B$4:$B$27)-3),ROW($A1)),3),"")</f>
        <v/>
      </c>
      <c r="R20" s="43">
        <v>30</v>
      </c>
      <c r="S20" s="25" t="str">
        <f t="array" ref="S20">IFERROR(INDEX($B$4:$H$27,SMALL(IF($B$4:$B$27=R$20,ROW($B$4:$B$27)-3),ROW($A1)),3),"")</f>
        <v/>
      </c>
      <c r="T20" s="43">
        <v>31</v>
      </c>
      <c r="U20" s="25" t="str">
        <f t="array" ref="U20">IFERROR(INDEX($B$4:$H$27,SMALL(IF($B$4:$B$27=T$20,ROW($B$4:$B$27)-3),ROW($A1)),3),"")</f>
        <v/>
      </c>
      <c r="V20" s="79"/>
      <c r="W20" s="80"/>
      <c r="X20" s="66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45"/>
      <c r="S21" s="31" t="str">
        <f t="array" ref="S21">IFERROR(INDEX($B$4:$H$27,SMALL(IF($B$4:$B$27=R$20,ROW($B$4:$B$27)-3),ROW($A2)),3),"")</f>
        <v/>
      </c>
      <c r="T21" s="45"/>
      <c r="U21" s="31" t="str">
        <f t="array" ref="U21">IFERROR(INDEX($B$4:$H$27,SMALL(IF($B$4:$B$27=T$20,ROW($B$4:$B$27)-3),ROW($A2)),3),"")</f>
        <v/>
      </c>
      <c r="V21" s="79"/>
      <c r="W21" s="80"/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33"/>
      <c r="Q22" s="31" t="str">
        <f t="array" ref="Q22">IFERROR(INDEX($B$4:$H$27,SMALL(IF($B$4:$B$27=P$20,ROW($B$4:$B$27)-3),ROW($A3)),3),"")</f>
        <v/>
      </c>
      <c r="R22" s="33"/>
      <c r="S22" s="31" t="str">
        <f t="array" ref="S22">IFERROR(INDEX($B$4:$H$27,SMALL(IF($B$4:$B$27=R$20,ROW($B$4:$B$27)-3),ROW($A3)),3),"")</f>
        <v/>
      </c>
      <c r="T22" s="33"/>
      <c r="U22" s="31" t="str">
        <f t="array" ref="U22">IFERROR(INDEX($B$4:$H$27,SMALL(IF($B$4:$B$27=T$20,ROW($B$4:$B$27)-3),ROW($A3)),3),"")</f>
        <v/>
      </c>
      <c r="V22" s="79"/>
      <c r="W22" s="80"/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38"/>
      <c r="Q23" s="37" t="str">
        <f t="array" ref="Q23">IFERROR(INDEX($B$4:$H$27,SMALL(IF($B$4:$B$27=P$20,ROW($B$4:$B$27)-3),ROW($A4)),3),"")</f>
        <v/>
      </c>
      <c r="R23" s="38"/>
      <c r="S23" s="37" t="str">
        <f t="array" ref="S23">IFERROR(INDEX($B$4:$H$27,SMALL(IF($B$4:$B$27=R$20,ROW($B$4:$B$27)-3),ROW($A4)),3),"")</f>
        <v/>
      </c>
      <c r="T23" s="38"/>
      <c r="U23" s="37" t="str">
        <f t="array" ref="U23">IFERROR(INDEX($B$4:$H$27,SMALL(IF($B$4:$B$27=T$20,ROW($B$4:$B$27)-3),ROW($A4)),3),"")</f>
        <v/>
      </c>
      <c r="V23" s="83"/>
      <c r="W23" s="84"/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I24" s="68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I25" s="68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I26" s="68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I27" s="68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</row>
    <row r="28" spans="1:24" s="66" customFormat="1" x14ac:dyDescent="0.25">
      <c r="I28" s="68"/>
    </row>
    <row r="29" spans="1:24" s="66" customFormat="1" hidden="1" x14ac:dyDescent="0.25"/>
    <row r="30" spans="1:24" s="66" customFormat="1" hidden="1" x14ac:dyDescent="0.25"/>
  </sheetData>
  <sheetProtection algorithmName="SHA-512" hashValue="/OD18kQo51MRQbSx6WQ52Z5OZ5xu9NoUieF9FpXVnsAwM5cy2/WGwzgMJZfAgA3tVGiolnJdxVtBrvSTY+xdrA==" saltValue="BjeikAMcIeDDN8uIp2Mmfg==" spinCount="100000" sheet="1" objects="1" scenarios="1" selectLockedCells="1"/>
  <mergeCells count="38">
    <mergeCell ref="D27:H27"/>
    <mergeCell ref="D22:H22"/>
    <mergeCell ref="D23:H23"/>
    <mergeCell ref="D16:H16"/>
    <mergeCell ref="D17:H17"/>
    <mergeCell ref="D24:H24"/>
    <mergeCell ref="D25:H25"/>
    <mergeCell ref="D26:H26"/>
    <mergeCell ref="D18:H18"/>
    <mergeCell ref="D19:H19"/>
    <mergeCell ref="D20:H20"/>
    <mergeCell ref="D21:H21"/>
    <mergeCell ref="D14:H14"/>
    <mergeCell ref="D15:H15"/>
    <mergeCell ref="V3:W3"/>
    <mergeCell ref="J5:K5"/>
    <mergeCell ref="J7:K7"/>
    <mergeCell ref="J6:K6"/>
    <mergeCell ref="D9:H9"/>
    <mergeCell ref="D10:H10"/>
    <mergeCell ref="D11:H11"/>
    <mergeCell ref="D12:H12"/>
    <mergeCell ref="D13:H13"/>
    <mergeCell ref="D4:H4"/>
    <mergeCell ref="D5:H5"/>
    <mergeCell ref="D6:H6"/>
    <mergeCell ref="D7:H7"/>
    <mergeCell ref="D8:H8"/>
    <mergeCell ref="B2:H2"/>
    <mergeCell ref="D3:H3"/>
    <mergeCell ref="J2:K2"/>
    <mergeCell ref="M2:U2"/>
    <mergeCell ref="J3:K3"/>
    <mergeCell ref="L3:M3"/>
    <mergeCell ref="N3:O3"/>
    <mergeCell ref="P3:Q3"/>
    <mergeCell ref="R3:S3"/>
    <mergeCell ref="T3:U3"/>
  </mergeCells>
  <conditionalFormatting sqref="B4:H27">
    <cfRule type="notContainsBlanks" dxfId="20" priority="1">
      <formula>LEN(TRIM(B4))&gt;0</formula>
    </cfRule>
  </conditionalFormatting>
  <hyperlinks>
    <hyperlink ref="J2:K2" location="Julho!A1" display="←  Julho"/>
    <hyperlink ref="W2" location="Setembro!A1" display="Setembro →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Z30"/>
  <sheetViews>
    <sheetView showGridLines="0" workbookViewId="0">
      <selection activeCell="W2" sqref="W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4" width="9.140625" customWidth="1"/>
    <col min="5" max="5" width="4.85546875" customWidth="1"/>
    <col min="6" max="6" width="8" customWidth="1"/>
    <col min="7" max="7" width="9.1406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customWidth="1"/>
    <col min="25" max="26" width="0" hidden="1" customWidth="1"/>
    <col min="27" max="16384" width="9.140625" hidden="1"/>
  </cols>
  <sheetData>
    <row r="1" spans="1:24" s="66" customFormat="1" ht="6" customHeight="1" x14ac:dyDescent="0.25">
      <c r="A1" s="139"/>
    </row>
    <row r="2" spans="1:24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28</v>
      </c>
      <c r="K2" s="176"/>
      <c r="L2" s="17"/>
      <c r="M2" s="164" t="s">
        <v>69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29</v>
      </c>
      <c r="X2" s="66"/>
    </row>
    <row r="3" spans="1:24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  <c r="X3" s="66"/>
    </row>
    <row r="4" spans="1:24" x14ac:dyDescent="0.25">
      <c r="A4" s="137">
        <f ca="1">DAY(A2)</f>
        <v>30</v>
      </c>
      <c r="B4" s="103">
        <v>7</v>
      </c>
      <c r="C4" s="104">
        <v>0</v>
      </c>
      <c r="D4" s="152" t="s">
        <v>30</v>
      </c>
      <c r="E4" s="153"/>
      <c r="F4" s="153"/>
      <c r="G4" s="153"/>
      <c r="H4" s="154"/>
      <c r="I4" s="70"/>
      <c r="J4" s="79"/>
      <c r="K4" s="80"/>
      <c r="L4" s="79"/>
      <c r="M4" s="80"/>
      <c r="N4" s="79"/>
      <c r="O4" s="100"/>
      <c r="P4" s="101"/>
      <c r="Q4" s="100"/>
      <c r="R4" s="101"/>
      <c r="S4" s="100"/>
      <c r="T4" s="101"/>
      <c r="U4" s="100"/>
      <c r="V4" s="26">
        <v>1</v>
      </c>
      <c r="W4" s="29" t="str">
        <f t="array" ref="W4">IFERROR(INDEX($B$4:$H$27,SMALL(IF($B$4:$B$27=V$4,ROW($B$4:$B$27)-3),ROW($A1)),3),"")</f>
        <v/>
      </c>
      <c r="X4" s="66"/>
    </row>
    <row r="5" spans="1:24" x14ac:dyDescent="0.25">
      <c r="A5" s="138">
        <v>9</v>
      </c>
      <c r="B5" s="103"/>
      <c r="C5" s="104"/>
      <c r="D5" s="152"/>
      <c r="E5" s="153"/>
      <c r="F5" s="153"/>
      <c r="G5" s="153"/>
      <c r="H5" s="154"/>
      <c r="I5" s="70"/>
      <c r="J5" s="168"/>
      <c r="K5" s="169"/>
      <c r="L5" s="168"/>
      <c r="M5" s="169"/>
      <c r="N5" s="168"/>
      <c r="O5" s="169"/>
      <c r="P5" s="168"/>
      <c r="Q5" s="169"/>
      <c r="R5" s="168"/>
      <c r="S5" s="169"/>
      <c r="T5" s="168"/>
      <c r="U5" s="169"/>
      <c r="V5" s="34"/>
      <c r="W5" s="35" t="str">
        <f t="array" ref="W5">IFERROR(INDEX($B$4:$H$27,SMALL(IF($B$4:$B$27=V$4,ROW($B$4:$B$27)-3),ROW($A2)),3),"")</f>
        <v/>
      </c>
      <c r="X5" s="66"/>
    </row>
    <row r="6" spans="1:24" x14ac:dyDescent="0.25">
      <c r="A6" s="68"/>
      <c r="B6" s="105"/>
      <c r="C6" s="106"/>
      <c r="D6" s="152"/>
      <c r="E6" s="153"/>
      <c r="F6" s="153"/>
      <c r="G6" s="153"/>
      <c r="H6" s="154"/>
      <c r="I6" s="70"/>
      <c r="J6" s="170"/>
      <c r="K6" s="169"/>
      <c r="L6" s="170"/>
      <c r="M6" s="169"/>
      <c r="N6" s="170"/>
      <c r="O6" s="169"/>
      <c r="P6" s="170"/>
      <c r="Q6" s="169"/>
      <c r="R6" s="170"/>
      <c r="S6" s="169"/>
      <c r="T6" s="170"/>
      <c r="U6" s="169"/>
      <c r="V6" s="34"/>
      <c r="W6" s="35" t="str">
        <f t="array" ref="W6">IFERROR(INDEX($B$4:$H$27,SMALL(IF($B$4:$B$27=V$4,ROW($B$4:$B$27)-3),ROW($A3)),3),"")</f>
        <v/>
      </c>
      <c r="X6" s="66"/>
    </row>
    <row r="7" spans="1:24" x14ac:dyDescent="0.25">
      <c r="A7" s="68"/>
      <c r="B7" s="107"/>
      <c r="C7" s="108"/>
      <c r="D7" s="152"/>
      <c r="E7" s="153"/>
      <c r="F7" s="153"/>
      <c r="G7" s="153"/>
      <c r="H7" s="154"/>
      <c r="I7" s="70"/>
      <c r="J7" s="171"/>
      <c r="K7" s="172"/>
      <c r="L7" s="171"/>
      <c r="M7" s="172"/>
      <c r="N7" s="171"/>
      <c r="O7" s="172"/>
      <c r="P7" s="171"/>
      <c r="Q7" s="172"/>
      <c r="R7" s="171"/>
      <c r="S7" s="172"/>
      <c r="T7" s="171"/>
      <c r="U7" s="172"/>
      <c r="V7" s="39"/>
      <c r="W7" s="40" t="str">
        <f t="array" ref="W7">IFERROR(INDEX($B$4:$H$27,SMALL(IF($B$4:$B$27=V$4,ROW($B$4:$B$27)-3),ROW($A4)),3),"")</f>
        <v/>
      </c>
      <c r="X7" s="66"/>
    </row>
    <row r="8" spans="1:24" x14ac:dyDescent="0.25">
      <c r="A8" s="68"/>
      <c r="B8" s="107"/>
      <c r="C8" s="108"/>
      <c r="D8" s="152"/>
      <c r="E8" s="153"/>
      <c r="F8" s="153"/>
      <c r="G8" s="153"/>
      <c r="H8" s="154"/>
      <c r="I8" s="70"/>
      <c r="J8" s="41">
        <v>2</v>
      </c>
      <c r="K8" s="42" t="str">
        <f t="array" ref="K8">IFERROR(INDEX($B$4:$H$27,SMALL(IF($B$4:$B$27=J$8,ROW($B$4:$B$27)-3),ROW($A1)),3),"")</f>
        <v/>
      </c>
      <c r="L8" s="43">
        <v>3</v>
      </c>
      <c r="M8" s="25" t="str">
        <f t="array" ref="M8">IFERROR(INDEX($B$4:$H$27,SMALL(IF($B$4:$B$27=L$8,ROW($B$4:$B$27)-3),ROW($A1)),3),"")</f>
        <v/>
      </c>
      <c r="N8" s="43">
        <v>4</v>
      </c>
      <c r="O8" s="25" t="str">
        <f t="array" ref="O8">IFERROR(INDEX($B$4:$H$27,SMALL(IF($B$4:$B$27=N$8,ROW($B$4:$B$27)-3),ROW($A1)),3),"")</f>
        <v/>
      </c>
      <c r="P8" s="43">
        <v>5</v>
      </c>
      <c r="Q8" s="25" t="str">
        <f t="array" ref="Q8">IFERROR(INDEX($B$4:$H$27,SMALL(IF($B$4:$B$27=P$8,ROW($B$4:$B$27)-3),ROW($A1)),3),"")</f>
        <v/>
      </c>
      <c r="R8" s="43">
        <v>6</v>
      </c>
      <c r="S8" s="25" t="str">
        <f t="array" ref="S8">IFERROR(INDEX($B$4:$H$27,SMALL(IF($B$4:$B$27=R$8,ROW($B$4:$B$27)-3),ROW($A1)),3),"")</f>
        <v/>
      </c>
      <c r="T8" s="43">
        <v>7</v>
      </c>
      <c r="U8" s="58" t="str">
        <f t="array" ref="U8">IFERROR(INDEX($B$4:$H$27,SMALL(IF($B$4:$B$27=T$8,ROW($B$4:$B$27)-3),ROW($A1)),3),"")</f>
        <v>Independência</v>
      </c>
      <c r="V8" s="43">
        <v>8</v>
      </c>
      <c r="W8" s="42" t="str">
        <f t="array" ref="W8">IFERROR(INDEX($B$4:$H$27,SMALL(IF($B$4:$B$27=V$8,ROW($B$4:$B$27)-3),ROW($A1)),3),"")</f>
        <v/>
      </c>
      <c r="X8" s="66"/>
    </row>
    <row r="9" spans="1:24" ht="15" customHeight="1" x14ac:dyDescent="0.25">
      <c r="A9" s="68"/>
      <c r="B9" s="107"/>
      <c r="C9" s="108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53"/>
      <c r="U9" s="54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  <c r="X9" s="66"/>
    </row>
    <row r="10" spans="1:24" ht="15" customHeight="1" x14ac:dyDescent="0.25">
      <c r="A10" s="68"/>
      <c r="B10" s="107"/>
      <c r="C10" s="108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55"/>
      <c r="U10" s="54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  <c r="X10" s="66"/>
    </row>
    <row r="11" spans="1:24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56"/>
      <c r="U11" s="54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  <c r="X11" s="66"/>
    </row>
    <row r="12" spans="1:24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9</v>
      </c>
      <c r="K12" s="29" t="str">
        <f t="array" ref="K12">IFERROR(INDEX($B$4:$H$27,SMALL(IF($B$4:$B$27=J$12,ROW($B$4:$B$27)-3),ROW($A$1)),3),"")</f>
        <v/>
      </c>
      <c r="L12" s="43">
        <v>10</v>
      </c>
      <c r="M12" s="25" t="str">
        <f t="array" ref="M12">IFERROR(INDEX($B$4:$H$27,SMALL(IF($B$4:$B$27=L$12,ROW($B$4:$B$27)-3),ROW($A$1)),3),"")</f>
        <v/>
      </c>
      <c r="N12" s="43">
        <v>11</v>
      </c>
      <c r="O12" s="25" t="str">
        <f t="array" ref="O12">IFERROR(INDEX($B$4:$H$27,SMALL(IF($B$4:$B$27=N$12,ROW($B$4:$B$27)-3),ROW($A$1)),3),"")</f>
        <v/>
      </c>
      <c r="P12" s="43">
        <v>12</v>
      </c>
      <c r="Q12" s="27" t="str">
        <f t="array" ref="Q12">IFERROR(INDEX($B$4:$H$27,SMALL(IF($B$4:$B$27=P$12,ROW($B$4:$B$27)-3),ROW($A$1)),3),"")</f>
        <v/>
      </c>
      <c r="R12" s="43">
        <v>13</v>
      </c>
      <c r="S12" s="25" t="str">
        <f t="array" ref="S12">IFERROR(INDEX($B$4:$H$27,SMALL(IF($B$4:$B$27=R$12,ROW($B$4:$B$27)-3),ROW($A$1)),3),"")</f>
        <v/>
      </c>
      <c r="T12" s="43">
        <v>14</v>
      </c>
      <c r="U12" s="27" t="str">
        <f t="array" ref="U12">IFERROR(INDEX($B$4:$H$27,SMALL(IF($B$4:$B$27=T$12,ROW($B$4:$B$27)-3),ROW($A$1)),3),"")</f>
        <v/>
      </c>
      <c r="V12" s="28">
        <v>15</v>
      </c>
      <c r="W12" s="29" t="str">
        <f t="array" ref="W12">IFERROR(INDEX($B$4:$H$27,SMALL(IF($B$4:$B$27=V$12,ROW($B$4:$B$27)-3),ROW($A$1)),3),"")</f>
        <v/>
      </c>
      <c r="X12" s="66"/>
    </row>
    <row r="13" spans="1:24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  <c r="X13" s="66"/>
    </row>
    <row r="14" spans="1:24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  <c r="X14" s="66"/>
    </row>
    <row r="15" spans="1:24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  <c r="X15" s="66"/>
    </row>
    <row r="16" spans="1:24" x14ac:dyDescent="0.25">
      <c r="A16" s="68"/>
      <c r="B16" s="107"/>
      <c r="C16" s="108"/>
      <c r="D16" s="152"/>
      <c r="E16" s="153"/>
      <c r="F16" s="153"/>
      <c r="G16" s="153"/>
      <c r="H16" s="154"/>
      <c r="J16" s="26">
        <v>16</v>
      </c>
      <c r="K16" s="29" t="str">
        <f t="array" ref="K16">IFERROR(INDEX($B$4:$H$27,SMALL(IF($B$4:$B$27=J$16,ROW($B$4:$B$27)-3),ROW($A1)),3),"")</f>
        <v/>
      </c>
      <c r="L16" s="43">
        <v>17</v>
      </c>
      <c r="M16" s="25" t="str">
        <f t="array" ref="M16">IFERROR(INDEX($B$4:$H$27,SMALL(IF($B$4:$B$27=L$16,ROW($B$4:$B$27)-3),ROW($A1)),3),"")</f>
        <v/>
      </c>
      <c r="N16" s="43">
        <v>18</v>
      </c>
      <c r="O16" s="25" t="str">
        <f t="array" ref="O16">IFERROR(INDEX($B$4:$H$27,SMALL(IF($B$4:$B$27=N$16,ROW($B$4:$B$27)-3),ROW($A1)),3),"")</f>
        <v/>
      </c>
      <c r="P16" s="43">
        <v>19</v>
      </c>
      <c r="Q16" s="27" t="str">
        <f t="array" ref="Q16">IFERROR(INDEX($B$4:$H$27,SMALL(IF($B$4:$B$27=P$16,ROW($B$4:$B$27)-3),ROW($A1)),3),"")</f>
        <v/>
      </c>
      <c r="R16" s="43">
        <v>20</v>
      </c>
      <c r="S16" s="25" t="str">
        <f t="array" ref="S16">IFERROR(INDEX($B$4:$H$27,SMALL(IF($B$4:$B$27=R$16,ROW($B$4:$B$27)-3),ROW($A1)),3),"")</f>
        <v/>
      </c>
      <c r="T16" s="43">
        <v>21</v>
      </c>
      <c r="U16" s="27" t="str">
        <f t="array" ref="U16">IFERROR(INDEX($B$4:$H$27,SMALL(IF($B$4:$B$27=T$16,ROW($B$4:$B$27)-3),ROW($A1)),3),"")</f>
        <v/>
      </c>
      <c r="V16" s="26">
        <v>22</v>
      </c>
      <c r="W16" s="29" t="str">
        <f t="array" ref="W16">IFERROR(INDEX($B$4:$H$27,SMALL(IF($B$4:$B$27=V$16,ROW($B$4:$B$27)-3),ROW($A1)),3),"")</f>
        <v/>
      </c>
      <c r="X16" s="66"/>
    </row>
    <row r="17" spans="1:24" x14ac:dyDescent="0.25">
      <c r="A17" s="68"/>
      <c r="B17" s="107"/>
      <c r="C17" s="108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  <c r="X17" s="66"/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  <c r="X18" s="66"/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J19" s="47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  <c r="X19" s="66"/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23</v>
      </c>
      <c r="K20" s="29" t="str">
        <f t="array" ref="K20">IFERROR(INDEX($B$4:$H$27,SMALL(IF($B$4:$B$27=J$20,ROW($B$4:$B$27)-3),ROW($A1)),3),"")</f>
        <v/>
      </c>
      <c r="L20" s="28">
        <v>24</v>
      </c>
      <c r="M20" s="25" t="str">
        <f t="array" ref="M20">IFERROR(INDEX($B$4:$H$27,SMALL(IF($B$4:$B$27=L$20,ROW($B$4:$B$27)-3),ROW($A1)),3),"")</f>
        <v/>
      </c>
      <c r="N20" s="43">
        <v>25</v>
      </c>
      <c r="O20" s="25" t="str">
        <f t="array" ref="O20">IFERROR(INDEX($B$4:$H$27,SMALL(IF($B$4:$B$27=N$20,ROW($B$4:$B$27)-3),ROW($A1)),3),"")</f>
        <v/>
      </c>
      <c r="P20" s="43">
        <v>26</v>
      </c>
      <c r="Q20" s="25" t="str">
        <f t="array" ref="Q20">IFERROR(INDEX($B$4:$H$27,SMALL(IF($B$4:$B$27=P$20,ROW($B$4:$B$27)-3),ROW($A1)),3),"")</f>
        <v/>
      </c>
      <c r="R20" s="28">
        <v>27</v>
      </c>
      <c r="S20" s="25" t="str">
        <f t="array" ref="S20">IFERROR(INDEX($B$4:$H$27,SMALL(IF($B$4:$B$27=R$20,ROW($B$4:$B$27)-3),ROW($A1)),3),"")</f>
        <v/>
      </c>
      <c r="T20" s="43">
        <v>28</v>
      </c>
      <c r="U20" s="25" t="str">
        <f t="array" ref="U20">IFERROR(INDEX($B$4:$H$27,SMALL(IF($B$4:$B$27=T$20,ROW($B$4:$B$27)-3),ROW($A1)),3),"")</f>
        <v/>
      </c>
      <c r="V20" s="43">
        <v>29</v>
      </c>
      <c r="W20" s="42" t="str">
        <f t="array" ref="W20">IFERROR(INDEX($B$4:$H$27,SMALL(IF($B$4:$B$27=V$20,ROW($B$4:$B$27)-3),ROW($A1)),3),"")</f>
        <v/>
      </c>
      <c r="X20" s="66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30"/>
      <c r="S21" s="31" t="str">
        <f t="array" ref="S21">IFERROR(INDEX($B$4:$H$27,SMALL(IF($B$4:$B$27=R$20,ROW($B$4:$B$27)-3),ROW($A2)),3),"")</f>
        <v/>
      </c>
      <c r="T21" s="45"/>
      <c r="U21" s="31" t="str">
        <f t="array" ref="U21">IFERROR(INDEX($B$4:$H$27,SMALL(IF($B$4:$B$27=T$20,ROW($B$4:$B$27)-3),ROW($A2)),3),"")</f>
        <v/>
      </c>
      <c r="V21" s="63"/>
      <c r="W21" s="35" t="str">
        <f t="array" ref="W21">IFERROR(INDEX($B$4:$H$27,SMALL(IF($B$4:$B$27=V$20,ROW($B$4:$B$27)-3),ROW($A2)),3),"")</f>
        <v/>
      </c>
      <c r="X21" s="66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33"/>
      <c r="Q22" s="31" t="str">
        <f t="array" ref="Q22">IFERROR(INDEX($B$4:$H$27,SMALL(IF($B$4:$B$27=P$20,ROW($B$4:$B$27)-3),ROW($A3)),3),"")</f>
        <v/>
      </c>
      <c r="R22" s="33"/>
      <c r="S22" s="31" t="str">
        <f t="array" ref="S22">IFERROR(INDEX($B$4:$H$27,SMALL(IF($B$4:$B$27=R$20,ROW($B$4:$B$27)-3),ROW($A3)),3),"")</f>
        <v/>
      </c>
      <c r="T22" s="33"/>
      <c r="U22" s="31" t="str">
        <f t="array" ref="U22">IFERROR(INDEX($B$4:$H$27,SMALL(IF($B$4:$B$27=T$20,ROW($B$4:$B$27)-3),ROW($A3)),3),"")</f>
        <v/>
      </c>
      <c r="V22" s="34"/>
      <c r="W22" s="35" t="str">
        <f t="array" ref="W22">IFERROR(INDEX($B$4:$H$27,SMALL(IF($B$4:$B$27=V$20,ROW($B$4:$B$27)-3),ROW($A3)),3),"")</f>
        <v/>
      </c>
      <c r="X22" s="66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69"/>
      <c r="J23" s="47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38"/>
      <c r="Q23" s="37" t="str">
        <f t="array" ref="Q23">IFERROR(INDEX($B$4:$H$27,SMALL(IF($B$4:$B$27=P$20,ROW($B$4:$B$27)-3),ROW($A4)),3),"")</f>
        <v/>
      </c>
      <c r="R23" s="38"/>
      <c r="S23" s="37" t="str">
        <f t="array" ref="S23">IFERROR(INDEX($B$4:$H$27,SMALL(IF($B$4:$B$27=R$20,ROW($B$4:$B$27)-3),ROW($A4)),3),"")</f>
        <v/>
      </c>
      <c r="T23" s="38"/>
      <c r="U23" s="37" t="str">
        <f t="array" ref="U23">IFERROR(INDEX($B$4:$H$27,SMALL(IF($B$4:$B$27=T$20,ROW($B$4:$B$27)-3),ROW($A4)),3),"")</f>
        <v/>
      </c>
      <c r="V23" s="39"/>
      <c r="W23" s="40" t="str">
        <f t="array" ref="W23">IFERROR(INDEX($B$4:$H$27,SMALL(IF($B$4:$B$27=V$20,ROW($B$4:$B$27)-3),ROW($A4)),3),"")</f>
        <v/>
      </c>
      <c r="X23" s="66"/>
    </row>
    <row r="24" spans="1:24" x14ac:dyDescent="0.25">
      <c r="B24" s="111"/>
      <c r="C24" s="112"/>
      <c r="D24" s="161"/>
      <c r="E24" s="162"/>
      <c r="F24" s="162"/>
      <c r="G24" s="162"/>
      <c r="H24" s="163"/>
      <c r="I24" s="69"/>
      <c r="J24" s="74">
        <v>30</v>
      </c>
      <c r="K24" s="29" t="str">
        <f t="array" ref="K24">IFERROR(INDEX($B$4:$H$27,SMALL(IF($B$4:$B$27=J$24,ROW($B$4:$B$27)-3),ROW($A1)),3),"")</f>
        <v/>
      </c>
      <c r="L24" s="79"/>
      <c r="M24" s="80"/>
      <c r="N24" s="79"/>
      <c r="O24" s="80"/>
      <c r="P24" s="79"/>
      <c r="Q24" s="80"/>
      <c r="R24" s="79"/>
      <c r="S24" s="80"/>
      <c r="T24" s="79"/>
      <c r="U24" s="80"/>
      <c r="V24" s="79"/>
      <c r="W24" s="80"/>
      <c r="X24" s="66"/>
    </row>
    <row r="25" spans="1:24" x14ac:dyDescent="0.25">
      <c r="B25" s="112"/>
      <c r="C25" s="112"/>
      <c r="D25" s="161"/>
      <c r="E25" s="162"/>
      <c r="F25" s="162"/>
      <c r="G25" s="162"/>
      <c r="H25" s="163"/>
      <c r="I25" s="69"/>
      <c r="J25" s="34"/>
      <c r="K25" s="35" t="str">
        <f t="array" ref="K25">IFERROR(INDEX($B$4:$H$27,SMALL(IF($B$4:$B$27=J$24,ROW($B$4:$B$27)-3),ROW($A2)),3),"")</f>
        <v/>
      </c>
      <c r="L25" s="168"/>
      <c r="M25" s="169"/>
      <c r="N25" s="168"/>
      <c r="O25" s="169"/>
      <c r="P25" s="168"/>
      <c r="Q25" s="169"/>
      <c r="R25" s="168"/>
      <c r="S25" s="169"/>
      <c r="T25" s="168"/>
      <c r="U25" s="169"/>
      <c r="V25" s="168"/>
      <c r="W25" s="169"/>
      <c r="X25" s="66"/>
    </row>
    <row r="26" spans="1:24" x14ac:dyDescent="0.25">
      <c r="B26" s="112"/>
      <c r="C26" s="112"/>
      <c r="D26" s="161"/>
      <c r="E26" s="162"/>
      <c r="F26" s="162"/>
      <c r="G26" s="162"/>
      <c r="H26" s="163"/>
      <c r="I26" s="69"/>
      <c r="J26" s="48"/>
      <c r="K26" s="35" t="str">
        <f t="array" ref="K26">IFERROR(INDEX($B$4:$H$27,SMALL(IF($B$4:$B$27=J$24,ROW($B$4:$B$27)-3),ROW($A3)),3),"")</f>
        <v/>
      </c>
      <c r="L26" s="170"/>
      <c r="M26" s="169"/>
      <c r="N26" s="170"/>
      <c r="O26" s="169"/>
      <c r="P26" s="170"/>
      <c r="Q26" s="169"/>
      <c r="R26" s="170"/>
      <c r="S26" s="169"/>
      <c r="T26" s="170"/>
      <c r="U26" s="169"/>
      <c r="V26" s="170"/>
      <c r="W26" s="169"/>
      <c r="X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47"/>
      <c r="K27" s="40" t="str">
        <f t="array" ref="K27">IFERROR(INDEX($B$4:$H$27,SMALL(IF($B$4:$B$27=J$24,ROW($B$4:$B$27)-3),ROW($A4)),3),"")</f>
        <v/>
      </c>
      <c r="L27" s="171"/>
      <c r="M27" s="172"/>
      <c r="N27" s="171"/>
      <c r="O27" s="172"/>
      <c r="P27" s="171"/>
      <c r="Q27" s="172"/>
      <c r="R27" s="171"/>
      <c r="S27" s="172"/>
      <c r="T27" s="171"/>
      <c r="U27" s="172"/>
      <c r="V27" s="171"/>
      <c r="W27" s="172"/>
      <c r="X27" s="66"/>
    </row>
    <row r="28" spans="1:24" s="66" customFormat="1" x14ac:dyDescent="0.25"/>
    <row r="29" spans="1:24" s="66" customFormat="1" hidden="1" x14ac:dyDescent="0.25"/>
    <row r="30" spans="1:24" s="66" customFormat="1" hidden="1" x14ac:dyDescent="0.25"/>
  </sheetData>
  <sheetProtection algorithmName="SHA-512" hashValue="EK1dMkagLqF70K/oeST2BTJHF/swX+/jGpPJATSzv+GnBP6UIMmZ4uwqRC7pOoe/IIeR1g5QlDGncHptes0dtw==" saltValue="TKUDgN8lfNR7kiEBv0hFjw==" spinCount="100000" sheet="1" objects="1" scenarios="1" selectLockedCells="1"/>
  <mergeCells count="71">
    <mergeCell ref="D24:H24"/>
    <mergeCell ref="D25:H25"/>
    <mergeCell ref="D26:H26"/>
    <mergeCell ref="D27:H27"/>
    <mergeCell ref="L27:M27"/>
    <mergeCell ref="L25:M25"/>
    <mergeCell ref="L26:M26"/>
    <mergeCell ref="N27:O27"/>
    <mergeCell ref="P27:Q27"/>
    <mergeCell ref="R27:S27"/>
    <mergeCell ref="T27:U27"/>
    <mergeCell ref="V27:W27"/>
    <mergeCell ref="N25:O25"/>
    <mergeCell ref="P25:Q25"/>
    <mergeCell ref="R25:S25"/>
    <mergeCell ref="T25:U25"/>
    <mergeCell ref="V25:W25"/>
    <mergeCell ref="N26:O26"/>
    <mergeCell ref="P26:Q26"/>
    <mergeCell ref="R26:S26"/>
    <mergeCell ref="T26:U26"/>
    <mergeCell ref="V26:W26"/>
    <mergeCell ref="D22:H22"/>
    <mergeCell ref="D23:H23"/>
    <mergeCell ref="D13:H13"/>
    <mergeCell ref="D14:H14"/>
    <mergeCell ref="D15:H15"/>
    <mergeCell ref="D16:H16"/>
    <mergeCell ref="D17:H17"/>
    <mergeCell ref="D18:H18"/>
    <mergeCell ref="D19:H19"/>
    <mergeCell ref="D20:H20"/>
    <mergeCell ref="D21:H21"/>
    <mergeCell ref="D11:H11"/>
    <mergeCell ref="D12:H12"/>
    <mergeCell ref="B2:H2"/>
    <mergeCell ref="D3:H3"/>
    <mergeCell ref="D4:H4"/>
    <mergeCell ref="D5:H5"/>
    <mergeCell ref="D6:H6"/>
    <mergeCell ref="D7:H7"/>
    <mergeCell ref="D8:H8"/>
    <mergeCell ref="T5:U5"/>
    <mergeCell ref="T6:U6"/>
    <mergeCell ref="T7:U7"/>
    <mergeCell ref="D9:H9"/>
    <mergeCell ref="D10:H10"/>
    <mergeCell ref="J2:K2"/>
    <mergeCell ref="M2:U2"/>
    <mergeCell ref="J3:K3"/>
    <mergeCell ref="L3:M3"/>
    <mergeCell ref="N3:O3"/>
    <mergeCell ref="P3:Q3"/>
    <mergeCell ref="R3:S3"/>
    <mergeCell ref="T3:U3"/>
    <mergeCell ref="V3:W3"/>
    <mergeCell ref="J5:K5"/>
    <mergeCell ref="J7:K7"/>
    <mergeCell ref="J6:K6"/>
    <mergeCell ref="L5:M5"/>
    <mergeCell ref="L6:M6"/>
    <mergeCell ref="L7:M7"/>
    <mergeCell ref="N5:O5"/>
    <mergeCell ref="N6:O6"/>
    <mergeCell ref="N7:O7"/>
    <mergeCell ref="P5:Q5"/>
    <mergeCell ref="P6:Q6"/>
    <mergeCell ref="P7:Q7"/>
    <mergeCell ref="R5:S5"/>
    <mergeCell ref="R6:S6"/>
    <mergeCell ref="R7:S7"/>
  </mergeCells>
  <conditionalFormatting sqref="B4:H27">
    <cfRule type="notContainsBlanks" dxfId="19" priority="1">
      <formula>LEN(TRIM(B4))&gt;0</formula>
    </cfRule>
  </conditionalFormatting>
  <hyperlinks>
    <hyperlink ref="J2:K2" location="Agosto!A1" display="←  Agosto"/>
    <hyperlink ref="W2" location="Outubro!A1" display="Outubro  →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Z30"/>
  <sheetViews>
    <sheetView workbookViewId="0">
      <selection activeCell="W2" sqref="W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6" width="9.140625" customWidth="1"/>
    <col min="7" max="7" width="3.285156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style="66" customWidth="1"/>
    <col min="25" max="26" width="0" hidden="1" customWidth="1"/>
    <col min="27" max="16384" width="9.140625" hidden="1"/>
  </cols>
  <sheetData>
    <row r="1" spans="1:25" s="66" customFormat="1" ht="6.75" customHeight="1" x14ac:dyDescent="0.25">
      <c r="A1" s="139"/>
    </row>
    <row r="2" spans="1:25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31</v>
      </c>
      <c r="K2" s="176"/>
      <c r="L2" s="17"/>
      <c r="M2" s="164" t="s">
        <v>70</v>
      </c>
      <c r="N2" s="164"/>
      <c r="O2" s="164"/>
      <c r="P2" s="164"/>
      <c r="Q2" s="164"/>
      <c r="R2" s="164"/>
      <c r="S2" s="164"/>
      <c r="T2" s="164"/>
      <c r="U2" s="164"/>
      <c r="V2" s="18"/>
      <c r="W2" s="140" t="s">
        <v>32</v>
      </c>
      <c r="Y2" s="1"/>
    </row>
    <row r="3" spans="1:25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</row>
    <row r="4" spans="1:25" x14ac:dyDescent="0.25">
      <c r="A4" s="137">
        <f ca="1">DAY(A2)</f>
        <v>30</v>
      </c>
      <c r="B4" s="103">
        <v>12</v>
      </c>
      <c r="C4" s="104">
        <v>0</v>
      </c>
      <c r="D4" s="152" t="s">
        <v>89</v>
      </c>
      <c r="E4" s="153"/>
      <c r="F4" s="153"/>
      <c r="G4" s="153"/>
      <c r="H4" s="154"/>
      <c r="I4" s="70"/>
      <c r="J4" s="79"/>
      <c r="K4" s="80"/>
      <c r="L4" s="26">
        <v>1</v>
      </c>
      <c r="M4" s="27" t="str">
        <f t="array" ref="M4">IFERROR(INDEX($B$4:$H$27,SMALL(IF($B$4:$B$27=L$4,ROW($B$4:$B$27)-3),ROW($A1)),3),"")</f>
        <v/>
      </c>
      <c r="N4" s="26">
        <v>2</v>
      </c>
      <c r="O4" s="27" t="str">
        <f t="array" ref="O4">IFERROR(INDEX($B$4:$H$27,SMALL(IF($B$4:$B$27=N$4,ROW($B$4:$B$27)-3),ROW($A1)),3),"")</f>
        <v/>
      </c>
      <c r="P4" s="28">
        <v>3</v>
      </c>
      <c r="Q4" s="27" t="str">
        <f t="array" ref="Q4">IFERROR(INDEX($B$4:$H$27,SMALL(IF($B$4:$B$27=P$4,ROW($B$4:$B$27)-3),ROW($A1)),3),"")</f>
        <v/>
      </c>
      <c r="R4" s="26">
        <v>4</v>
      </c>
      <c r="S4" s="27" t="str">
        <f t="array" ref="S4">IFERROR(INDEX($B$4:$H$27,SMALL(IF($B$4:$B$27=R$4,ROW($B$4:$B$27)-3),ROW($A1)),3),"")</f>
        <v/>
      </c>
      <c r="T4" s="26">
        <v>5</v>
      </c>
      <c r="U4" s="27" t="str">
        <f t="array" ref="U4">IFERROR(INDEX($B$4:$H$27,SMALL(IF($B$4:$B$27=T$4,ROW($B$4:$B$27)-3),ROW($A1)),3),"")</f>
        <v/>
      </c>
      <c r="V4" s="26">
        <v>6</v>
      </c>
      <c r="W4" s="29" t="str">
        <f t="array" ref="W4">IFERROR(INDEX($B$4:$H$27,SMALL(IF($B$4:$B$27=V$4,ROW($B$4:$B$27)-3),ROW($A1)),3),"")</f>
        <v/>
      </c>
    </row>
    <row r="5" spans="1:25" x14ac:dyDescent="0.25">
      <c r="A5" s="138">
        <v>10</v>
      </c>
      <c r="B5" s="103">
        <v>12</v>
      </c>
      <c r="C5" s="104">
        <v>0</v>
      </c>
      <c r="D5" s="152" t="s">
        <v>53</v>
      </c>
      <c r="E5" s="153"/>
      <c r="F5" s="153"/>
      <c r="G5" s="153"/>
      <c r="H5" s="154"/>
      <c r="I5" s="70"/>
      <c r="J5" s="168"/>
      <c r="K5" s="169"/>
      <c r="L5" s="30"/>
      <c r="M5" s="31" t="str">
        <f t="array" ref="M5">IFERROR(INDEX($B$4:$H$27,SMALL(IF($B$4:$B$27=L$4,ROW($B$4:$B$27)-3),ROW($A2)),3),"")</f>
        <v/>
      </c>
      <c r="N5" s="32"/>
      <c r="O5" s="31" t="str">
        <f t="array" ref="O5">IFERROR(INDEX($B$4:$H$27,SMALL(IF($B$4:$B$27=N$4,ROW($B$4:$B$27)-3),ROW($A2)),3),"")</f>
        <v/>
      </c>
      <c r="P5" s="30"/>
      <c r="Q5" s="31" t="str">
        <f t="array" ref="Q5">IFERROR(INDEX($B$4:$H$27,SMALL(IF($B$4:$B$27=P$4,ROW($B$4:$B$27)-3),ROW($A2)),3),"")</f>
        <v/>
      </c>
      <c r="R5" s="33"/>
      <c r="S5" s="31" t="str">
        <f t="array" ref="S5">IFERROR(INDEX($B$4:$H$27,SMALL(IF($B$4:$B$27=R$4,ROW($B$4:$B$27)-3),ROW($A2)),3),"")</f>
        <v/>
      </c>
      <c r="T5" s="33"/>
      <c r="U5" s="31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</row>
    <row r="6" spans="1:25" x14ac:dyDescent="0.25">
      <c r="A6" s="68"/>
      <c r="B6" s="105">
        <v>21</v>
      </c>
      <c r="C6" s="113">
        <v>0</v>
      </c>
      <c r="D6" s="152" t="s">
        <v>71</v>
      </c>
      <c r="E6" s="153"/>
      <c r="F6" s="153"/>
      <c r="G6" s="153"/>
      <c r="H6" s="154"/>
      <c r="I6" s="70"/>
      <c r="J6" s="170"/>
      <c r="K6" s="169"/>
      <c r="L6" s="32"/>
      <c r="M6" s="31" t="str">
        <f t="array" ref="M6">IFERROR(INDEX($B$4:$H$27,SMALL(IF($B$4:$B$27=L$4,ROW($B$4:$B$27)-3),ROW($A3)),3),"")</f>
        <v/>
      </c>
      <c r="N6" s="32"/>
      <c r="O6" s="31" t="str">
        <f t="array" ref="O6">IFERROR(INDEX($B$4:$H$27,SMALL(IF($B$4:$B$27=N$4,ROW($B$4:$B$27)-3),ROW($A3)),3),"")</f>
        <v/>
      </c>
      <c r="P6" s="33"/>
      <c r="Q6" s="31" t="str">
        <f t="array" ref="Q6">IFERROR(INDEX($B$4:$H$27,SMALL(IF($B$4:$B$27=P$4,ROW($B$4:$B$27)-3),ROW($A3)),3),"")</f>
        <v/>
      </c>
      <c r="R6" s="33"/>
      <c r="S6" s="31" t="str">
        <f t="array" ref="S6">IFERROR(INDEX($B$4:$H$27,SMALL(IF($B$4:$B$27=R$4,ROW($B$4:$B$27)-3),ROW($A3)),3),"")</f>
        <v/>
      </c>
      <c r="T6" s="33"/>
      <c r="U6" s="31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</row>
    <row r="7" spans="1:25" x14ac:dyDescent="0.25">
      <c r="A7" s="68"/>
      <c r="B7" s="107"/>
      <c r="C7" s="108"/>
      <c r="D7" s="152"/>
      <c r="E7" s="153"/>
      <c r="F7" s="153"/>
      <c r="G7" s="153"/>
      <c r="H7" s="154"/>
      <c r="I7" s="70"/>
      <c r="J7" s="171"/>
      <c r="K7" s="172"/>
      <c r="L7" s="36"/>
      <c r="M7" s="37" t="str">
        <f t="array" ref="M7">IFERROR(INDEX($B$4:$H$27,SMALL(IF($B$4:$B$27=L$4,ROW($B$4:$B$27)-3),ROW($A4)),3),"")</f>
        <v/>
      </c>
      <c r="N7" s="38"/>
      <c r="O7" s="37" t="str">
        <f t="array" ref="O7">IFERROR(INDEX($B$4:$H$27,SMALL(IF($B$4:$B$27=N$4,ROW($B$4:$B$27)-3),ROW($A4)),3),"")</f>
        <v/>
      </c>
      <c r="P7" s="38"/>
      <c r="Q7" s="37" t="str">
        <f t="array" ref="Q7">IFERROR(INDEX($B$4:$H$27,SMALL(IF($B$4:$B$27=P$4,ROW($B$4:$B$27)-3),ROW($A4)),3),"")</f>
        <v/>
      </c>
      <c r="R7" s="38"/>
      <c r="S7" s="37" t="str">
        <f t="array" ref="S7">IFERROR(INDEX($B$4:$H$27,SMALL(IF($B$4:$B$27=R$4,ROW($B$4:$B$27)-3),ROW($A4)),3),"")</f>
        <v/>
      </c>
      <c r="T7" s="38"/>
      <c r="U7" s="3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</row>
    <row r="8" spans="1:25" x14ac:dyDescent="0.25">
      <c r="A8" s="68"/>
      <c r="B8" s="107"/>
      <c r="C8" s="108"/>
      <c r="D8" s="152"/>
      <c r="E8" s="153"/>
      <c r="F8" s="153"/>
      <c r="G8" s="153"/>
      <c r="H8" s="154"/>
      <c r="I8" s="70"/>
      <c r="J8" s="41">
        <v>7</v>
      </c>
      <c r="K8" s="42" t="str">
        <f t="array" ref="K8">IFERROR(INDEX($B$4:$H$27,SMALL(IF($B$4:$B$27=J$8,ROW($B$4:$B$27)-3),ROW($A1)),3),"")</f>
        <v/>
      </c>
      <c r="L8" s="43">
        <v>8</v>
      </c>
      <c r="M8" s="25" t="str">
        <f t="array" ref="M8">IFERROR(INDEX($B$4:$H$27,SMALL(IF($B$4:$B$27=L$8,ROW($B$4:$B$27)-3),ROW($A1)),3),"")</f>
        <v/>
      </c>
      <c r="N8" s="43">
        <v>9</v>
      </c>
      <c r="O8" s="25" t="str">
        <f t="array" ref="O8">IFERROR(INDEX($B$4:$H$27,SMALL(IF($B$4:$B$27=N$8,ROW($B$4:$B$27)-3),ROW($A1)),3),"")</f>
        <v/>
      </c>
      <c r="P8" s="43">
        <v>10</v>
      </c>
      <c r="Q8" s="25" t="str">
        <f t="array" ref="Q8">IFERROR(INDEX($B$4:$H$27,SMALL(IF($B$4:$B$27=P$8,ROW($B$4:$B$27)-3),ROW($A1)),3),"")</f>
        <v/>
      </c>
      <c r="R8" s="43">
        <v>11</v>
      </c>
      <c r="S8" s="25" t="str">
        <f t="array" ref="S8">IFERROR(INDEX($B$4:$H$27,SMALL(IF($B$4:$B$27=R$8,ROW($B$4:$B$27)-3),ROW($A1)),3),"")</f>
        <v/>
      </c>
      <c r="T8" s="43">
        <v>12</v>
      </c>
      <c r="U8" s="58" t="str">
        <f t="array" ref="U8">IFERROR(INDEX($B$4:$H$27,SMALL(IF($B$4:$B$27=T$8,ROW($B$4:$B$27)-3),ROW($A1)),3),"")</f>
        <v>Padroeira do BR</v>
      </c>
      <c r="V8" s="43">
        <v>13</v>
      </c>
      <c r="W8" s="42" t="str">
        <f t="array" ref="W8">IFERROR(INDEX($B$4:$H$27,SMALL(IF($B$4:$B$27=V$8,ROW($B$4:$B$27)-3),ROW($A1)),3),"")</f>
        <v/>
      </c>
    </row>
    <row r="9" spans="1:25" ht="15" customHeight="1" x14ac:dyDescent="0.25">
      <c r="A9" s="68"/>
      <c r="B9" s="107"/>
      <c r="C9" s="108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53"/>
      <c r="U9" s="54" t="str">
        <f t="array" ref="U9">IFERROR(INDEX($B$4:$H$27,SMALL(IF($B$4:$B$27=T$8,ROW($B$4:$B$27)-3),ROW($A2)),3),"")</f>
        <v>Dia das Crianças</v>
      </c>
      <c r="V9" s="44"/>
      <c r="W9" s="35" t="str">
        <f t="array" ref="W9">IFERROR(INDEX($B$4:$H$27,SMALL(IF($B$4:$B$27=V$8,ROW($B$4:$B$27)-3),ROW($A2)),3),"")</f>
        <v/>
      </c>
    </row>
    <row r="10" spans="1:25" ht="15" customHeight="1" x14ac:dyDescent="0.25">
      <c r="A10" s="68"/>
      <c r="B10" s="107"/>
      <c r="C10" s="108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55"/>
      <c r="U10" s="54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</row>
    <row r="11" spans="1:25" ht="15" customHeight="1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56"/>
      <c r="U11" s="54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</row>
    <row r="12" spans="1:25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14</v>
      </c>
      <c r="K12" s="29" t="str">
        <f t="array" ref="K12">IFERROR(INDEX($B$4:$H$27,SMALL(IF($B$4:$B$27=J$12,ROW($B$4:$B$27)-3),ROW($A$1)),3),"")</f>
        <v/>
      </c>
      <c r="L12" s="43">
        <v>15</v>
      </c>
      <c r="M12" s="25" t="str">
        <f t="array" ref="M12">IFERROR(INDEX($B$4:$H$27,SMALL(IF($B$4:$B$27=L$12,ROW($B$4:$B$27)-3),ROW($A$1)),3),"")</f>
        <v/>
      </c>
      <c r="N12" s="43">
        <v>16</v>
      </c>
      <c r="O12" s="25" t="str">
        <f t="array" ref="O12">IFERROR(INDEX($B$4:$H$27,SMALL(IF($B$4:$B$27=N$12,ROW($B$4:$B$27)-3),ROW($A$1)),3),"")</f>
        <v/>
      </c>
      <c r="P12" s="43">
        <v>17</v>
      </c>
      <c r="Q12" s="27" t="str">
        <f t="array" ref="Q12">IFERROR(INDEX($B$4:$H$27,SMALL(IF($B$4:$B$27=P$12,ROW($B$4:$B$27)-3),ROW($A$1)),3),"")</f>
        <v/>
      </c>
      <c r="R12" s="43">
        <v>18</v>
      </c>
      <c r="S12" s="25" t="str">
        <f t="array" ref="S12">IFERROR(INDEX($B$4:$H$27,SMALL(IF($B$4:$B$27=R$12,ROW($B$4:$B$27)-3),ROW($A$1)),3),"")</f>
        <v/>
      </c>
      <c r="T12" s="43">
        <v>19</v>
      </c>
      <c r="U12" s="27" t="str">
        <f t="array" ref="U12">IFERROR(INDEX($B$4:$H$27,SMALL(IF($B$4:$B$27=T$12,ROW($B$4:$B$27)-3),ROW($A$1)),3),"")</f>
        <v/>
      </c>
      <c r="V12" s="28">
        <v>20</v>
      </c>
      <c r="W12" s="29" t="str">
        <f t="array" ref="W12">IFERROR(INDEX($B$4:$H$27,SMALL(IF($B$4:$B$27=V$12,ROW($B$4:$B$27)-3),ROW($A$1)),3),"")</f>
        <v/>
      </c>
    </row>
    <row r="13" spans="1:25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</row>
    <row r="14" spans="1:25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</row>
    <row r="15" spans="1:25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</row>
    <row r="16" spans="1:25" ht="15" customHeight="1" x14ac:dyDescent="0.25">
      <c r="A16" s="68"/>
      <c r="B16" s="107"/>
      <c r="C16" s="108"/>
      <c r="D16" s="152"/>
      <c r="E16" s="153"/>
      <c r="F16" s="153"/>
      <c r="G16" s="153"/>
      <c r="H16" s="154"/>
      <c r="I16" s="70"/>
      <c r="J16" s="26">
        <v>21</v>
      </c>
      <c r="K16" s="52" t="str">
        <f t="array" ref="K16">IFERROR(INDEX($B$4:$H$27,SMALL(IF($B$4:$B$27=J$16,ROW($B$4:$B$27)-3),ROW($A1)),3),"")</f>
        <v>Horário de Verão</v>
      </c>
      <c r="L16" s="43">
        <v>22</v>
      </c>
      <c r="M16" s="25" t="str">
        <f t="array" ref="M16">IFERROR(INDEX($B$4:$H$27,SMALL(IF($B$4:$B$27=L$16,ROW($B$4:$B$27)-3),ROW($A1)),3),"")</f>
        <v/>
      </c>
      <c r="N16" s="43">
        <v>23</v>
      </c>
      <c r="O16" s="25" t="str">
        <f t="array" ref="O16">IFERROR(INDEX($B$4:$H$27,SMALL(IF($B$4:$B$27=N$16,ROW($B$4:$B$27)-3),ROW($A1)),3),"")</f>
        <v/>
      </c>
      <c r="P16" s="43">
        <v>24</v>
      </c>
      <c r="Q16" s="27" t="str">
        <f t="array" ref="Q16">IFERROR(INDEX($B$4:$H$27,SMALL(IF($B$4:$B$27=P$16,ROW($B$4:$B$27)-3),ROW($A1)),3),"")</f>
        <v/>
      </c>
      <c r="R16" s="43">
        <v>25</v>
      </c>
      <c r="S16" s="25" t="str">
        <f t="array" ref="S16">IFERROR(INDEX($B$4:$H$27,SMALL(IF($B$4:$B$27=R$16,ROW($B$4:$B$27)-3),ROW($A1)),3),"")</f>
        <v/>
      </c>
      <c r="T16" s="43">
        <v>26</v>
      </c>
      <c r="U16" s="27" t="str">
        <f t="array" ref="U16">IFERROR(INDEX($B$4:$H$27,SMALL(IF($B$4:$B$27=T$16,ROW($B$4:$B$27)-3),ROW($A1)),3),"")</f>
        <v/>
      </c>
      <c r="V16" s="26">
        <v>27</v>
      </c>
      <c r="W16" s="29" t="str">
        <f t="array" ref="W16">IFERROR(INDEX($B$4:$H$27,SMALL(IF($B$4:$B$27=V$16,ROW($B$4:$B$27)-3),ROW($A1)),3),"")</f>
        <v/>
      </c>
    </row>
    <row r="17" spans="1:24" ht="15" customHeight="1" x14ac:dyDescent="0.25">
      <c r="A17" s="68"/>
      <c r="B17" s="107"/>
      <c r="C17" s="108"/>
      <c r="D17" s="152"/>
      <c r="E17" s="153"/>
      <c r="F17" s="153"/>
      <c r="G17" s="153"/>
      <c r="H17" s="154"/>
      <c r="I17" s="70"/>
      <c r="J17" s="59"/>
      <c r="K17" s="54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70"/>
      <c r="J18" s="61"/>
      <c r="K18" s="54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I19" s="70"/>
      <c r="J19" s="60"/>
      <c r="K19" s="57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28</v>
      </c>
      <c r="K20" s="29" t="str">
        <f t="array" ref="K20">IFERROR(INDEX($B$4:$H$27,SMALL(IF($B$4:$B$27=J$20,ROW($B$4:$B$27)-3),ROW($A1)),3),"")</f>
        <v/>
      </c>
      <c r="L20" s="28">
        <v>29</v>
      </c>
      <c r="M20" s="25" t="str">
        <f t="array" ref="M20">IFERROR(INDEX($B$4:$H$27,SMALL(IF($B$4:$B$27=L$20,ROW($B$4:$B$27)-3),ROW($A1)),3),"")</f>
        <v/>
      </c>
      <c r="N20" s="43">
        <v>30</v>
      </c>
      <c r="O20" s="25" t="str">
        <f t="array" ref="O20">IFERROR(INDEX($B$4:$H$27,SMALL(IF($B$4:$B$27=N$20,ROW($B$4:$B$27)-3),ROW($A1)),3),"")</f>
        <v/>
      </c>
      <c r="P20" s="43">
        <v>31</v>
      </c>
      <c r="Q20" s="25" t="str">
        <f t="array" ref="Q20">IFERROR(INDEX($B$4:$H$27,SMALL(IF($B$4:$B$27=P$20,ROW($B$4:$B$27)-3),ROW($A1)),3),"")</f>
        <v/>
      </c>
      <c r="R20" s="79"/>
      <c r="S20" s="80"/>
      <c r="T20" s="79"/>
      <c r="U20" s="80"/>
      <c r="V20" s="79"/>
      <c r="W20" s="80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79"/>
      <c r="S21" s="80"/>
      <c r="T21" s="79"/>
      <c r="U21" s="80"/>
      <c r="V21" s="79"/>
      <c r="W21" s="80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33"/>
      <c r="Q22" s="31" t="str">
        <f t="array" ref="Q22">IFERROR(INDEX($B$4:$H$27,SMALL(IF($B$4:$B$27=P$20,ROW($B$4:$B$27)-3),ROW($A3)),3),"")</f>
        <v/>
      </c>
      <c r="R22" s="79"/>
      <c r="S22" s="80"/>
      <c r="T22" s="102"/>
      <c r="U22" s="80"/>
      <c r="V22" s="79"/>
      <c r="W22" s="80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38"/>
      <c r="Q23" s="37" t="str">
        <f t="array" ref="Q23">IFERROR(INDEX($B$4:$H$27,SMALL(IF($B$4:$B$27=P$20,ROW($B$4:$B$27)-3),ROW($A4)),3),"")</f>
        <v/>
      </c>
      <c r="R23" s="83"/>
      <c r="S23" s="84"/>
      <c r="T23" s="81"/>
      <c r="U23" s="84"/>
      <c r="V23" s="83"/>
      <c r="W23" s="84"/>
    </row>
    <row r="24" spans="1:24" x14ac:dyDescent="0.25">
      <c r="B24" s="111"/>
      <c r="C24" s="112"/>
      <c r="D24" s="161"/>
      <c r="E24" s="162"/>
      <c r="F24" s="162"/>
      <c r="G24" s="162"/>
      <c r="H24" s="163"/>
      <c r="J24" s="66"/>
      <c r="K24" s="66"/>
      <c r="L24" s="66"/>
      <c r="M24" s="66"/>
      <c r="N24" s="66"/>
      <c r="O24" s="66"/>
      <c r="P24" s="66"/>
      <c r="Q24" s="66"/>
      <c r="R24" s="66"/>
      <c r="S24" s="75"/>
      <c r="T24" s="66"/>
      <c r="U24" s="66"/>
      <c r="V24" s="66"/>
      <c r="W24" s="66"/>
    </row>
    <row r="25" spans="1:24" x14ac:dyDescent="0.25">
      <c r="B25" s="112"/>
      <c r="C25" s="112"/>
      <c r="D25" s="161"/>
      <c r="E25" s="162"/>
      <c r="F25" s="162"/>
      <c r="G25" s="162"/>
      <c r="H25" s="163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</row>
    <row r="26" spans="1:24" x14ac:dyDescent="0.25">
      <c r="B26" s="112"/>
      <c r="C26" s="112"/>
      <c r="D26" s="161"/>
      <c r="E26" s="162"/>
      <c r="F26" s="162"/>
      <c r="G26" s="162"/>
      <c r="H26" s="163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</row>
    <row r="28" spans="1:24" s="66" customFormat="1" x14ac:dyDescent="0.25"/>
    <row r="29" spans="1:24" s="82" customFormat="1" hidden="1" x14ac:dyDescent="0.25">
      <c r="A29" s="66"/>
      <c r="I29" s="66"/>
      <c r="X29" s="66"/>
    </row>
    <row r="30" spans="1:24" s="82" customFormat="1" hidden="1" x14ac:dyDescent="0.25">
      <c r="A30" s="66"/>
      <c r="I30" s="66"/>
      <c r="X30" s="66"/>
    </row>
  </sheetData>
  <sheetProtection algorithmName="SHA-512" hashValue="7G30ux6TQ3U2OLNNwwxB94ImZOgExa3Fp/0SCCxMTF8/SlcuaNpHle89zJozaw7UGsNoivTCnaLMG5YRAYqlVw==" saltValue="cxIob8A58oTqkWVMq3MhNQ==" spinCount="100000" sheet="1" objects="1" scenarios="1" selectLockedCells="1"/>
  <mergeCells count="38">
    <mergeCell ref="D27:H27"/>
    <mergeCell ref="D22:H22"/>
    <mergeCell ref="D23:H23"/>
    <mergeCell ref="D16:H16"/>
    <mergeCell ref="D17:H17"/>
    <mergeCell ref="D24:H24"/>
    <mergeCell ref="D25:H25"/>
    <mergeCell ref="D26:H26"/>
    <mergeCell ref="D18:H18"/>
    <mergeCell ref="D19:H19"/>
    <mergeCell ref="D20:H20"/>
    <mergeCell ref="D21:H21"/>
    <mergeCell ref="D14:H14"/>
    <mergeCell ref="D15:H15"/>
    <mergeCell ref="V3:W3"/>
    <mergeCell ref="J5:K5"/>
    <mergeCell ref="J7:K7"/>
    <mergeCell ref="J6:K6"/>
    <mergeCell ref="D9:H9"/>
    <mergeCell ref="D10:H10"/>
    <mergeCell ref="D11:H11"/>
    <mergeCell ref="D12:H12"/>
    <mergeCell ref="D13:H13"/>
    <mergeCell ref="D4:H4"/>
    <mergeCell ref="D5:H5"/>
    <mergeCell ref="D6:H6"/>
    <mergeCell ref="D7:H7"/>
    <mergeCell ref="D8:H8"/>
    <mergeCell ref="B2:H2"/>
    <mergeCell ref="D3:H3"/>
    <mergeCell ref="J2:K2"/>
    <mergeCell ref="M2:U2"/>
    <mergeCell ref="J3:K3"/>
    <mergeCell ref="L3:M3"/>
    <mergeCell ref="N3:O3"/>
    <mergeCell ref="P3:Q3"/>
    <mergeCell ref="R3:S3"/>
    <mergeCell ref="T3:U3"/>
  </mergeCells>
  <conditionalFormatting sqref="B4:H27">
    <cfRule type="notContainsBlanks" dxfId="18" priority="1">
      <formula>LEN(TRIM(B4))&gt;0</formula>
    </cfRule>
  </conditionalFormatting>
  <hyperlinks>
    <hyperlink ref="J2:K2" location="Setembro!A1" display="←  Setembro"/>
    <hyperlink ref="W2" location="Novembro!A1" display="Novembro  →"/>
  </hyperlink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Z30"/>
  <sheetViews>
    <sheetView topLeftCell="E1" workbookViewId="0">
      <selection activeCell="W2" sqref="W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6" width="9.140625" customWidth="1"/>
    <col min="7" max="7" width="4.710937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style="66" customWidth="1"/>
    <col min="25" max="26" width="0" hidden="1" customWidth="1"/>
    <col min="27" max="16384" width="9.140625" hidden="1"/>
  </cols>
  <sheetData>
    <row r="1" spans="1:25" s="66" customFormat="1" ht="6.75" customHeight="1" x14ac:dyDescent="0.25">
      <c r="A1" s="139"/>
    </row>
    <row r="2" spans="1:25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33</v>
      </c>
      <c r="K2" s="176"/>
      <c r="L2" s="17"/>
      <c r="M2" s="164" t="s">
        <v>73</v>
      </c>
      <c r="N2" s="183"/>
      <c r="O2" s="183"/>
      <c r="P2" s="183"/>
      <c r="Q2" s="183"/>
      <c r="R2" s="183"/>
      <c r="S2" s="183"/>
      <c r="T2" s="164"/>
      <c r="U2" s="164"/>
      <c r="V2" s="18"/>
      <c r="W2" s="140" t="s">
        <v>34</v>
      </c>
      <c r="Y2" s="1"/>
    </row>
    <row r="3" spans="1:25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55"/>
      <c r="N3" s="184" t="s">
        <v>2</v>
      </c>
      <c r="O3" s="185"/>
      <c r="P3" s="186" t="s">
        <v>6</v>
      </c>
      <c r="Q3" s="185"/>
      <c r="R3" s="184" t="s">
        <v>3</v>
      </c>
      <c r="S3" s="187"/>
      <c r="T3" s="155" t="s">
        <v>4</v>
      </c>
      <c r="U3" s="156"/>
      <c r="V3" s="155" t="s">
        <v>5</v>
      </c>
      <c r="W3" s="156"/>
    </row>
    <row r="4" spans="1:25" x14ac:dyDescent="0.25">
      <c r="A4" s="137">
        <f ca="1">DAY(A2)</f>
        <v>30</v>
      </c>
      <c r="B4" s="103">
        <v>2</v>
      </c>
      <c r="C4" s="104">
        <v>0</v>
      </c>
      <c r="D4" s="152" t="s">
        <v>72</v>
      </c>
      <c r="E4" s="153"/>
      <c r="F4" s="153"/>
      <c r="G4" s="153"/>
      <c r="H4" s="154"/>
      <c r="I4" s="70"/>
      <c r="J4" s="79"/>
      <c r="K4" s="80"/>
      <c r="L4" s="79"/>
      <c r="M4" s="100"/>
      <c r="N4" s="101"/>
      <c r="O4" s="100"/>
      <c r="P4" s="101"/>
      <c r="Q4" s="100"/>
      <c r="R4" s="26">
        <v>1</v>
      </c>
      <c r="S4" s="27" t="str">
        <f t="array" ref="S4">IFERROR(INDEX($B$4:$H$27,SMALL(IF($B$4:$B$27=R$4,ROW($B$4:$B$27)-3),ROW($A1)),3),"")</f>
        <v/>
      </c>
      <c r="T4" s="26">
        <v>2</v>
      </c>
      <c r="U4" s="52" t="str">
        <f t="array" ref="U4">IFERROR(INDEX($B$4:$H$27,SMALL(IF($B$4:$B$27=T$4,ROW($B$4:$B$27)-3),ROW($A1)),3),"")</f>
        <v>Dia de Finados</v>
      </c>
      <c r="V4" s="26">
        <v>3</v>
      </c>
      <c r="W4" s="29" t="str">
        <f t="array" ref="W4">IFERROR(INDEX($B$4:$H$27,SMALL(IF($B$4:$B$27=V$4,ROW($B$4:$B$27)-3),ROW($A1)),3),"")</f>
        <v/>
      </c>
    </row>
    <row r="5" spans="1:25" ht="15" customHeight="1" x14ac:dyDescent="0.25">
      <c r="A5" s="138">
        <v>11</v>
      </c>
      <c r="B5" s="103">
        <v>15</v>
      </c>
      <c r="C5" s="104">
        <v>0</v>
      </c>
      <c r="D5" s="152" t="s">
        <v>90</v>
      </c>
      <c r="E5" s="153"/>
      <c r="F5" s="153"/>
      <c r="G5" s="153"/>
      <c r="H5" s="154"/>
      <c r="I5" s="70"/>
      <c r="J5" s="168"/>
      <c r="K5" s="169"/>
      <c r="L5" s="168"/>
      <c r="M5" s="169"/>
      <c r="N5" s="168"/>
      <c r="O5" s="169"/>
      <c r="P5" s="168"/>
      <c r="Q5" s="169"/>
      <c r="R5" s="33"/>
      <c r="S5" s="31" t="str">
        <f t="array" ref="S5">IFERROR(INDEX($B$4:$H$27,SMALL(IF($B$4:$B$27=R$4,ROW($B$4:$B$27)-3),ROW($A2)),3),"")</f>
        <v/>
      </c>
      <c r="T5" s="59"/>
      <c r="U5" s="54" t="str">
        <f t="array" ref="U5">IFERROR(INDEX($B$4:$H$27,SMALL(IF($B$4:$B$27=T$4,ROW($B$4:$B$27)-3),ROW($A2)),3),"")</f>
        <v/>
      </c>
      <c r="V5" s="34"/>
      <c r="W5" s="35" t="str">
        <f t="array" ref="W5">IFERROR(INDEX($B$4:$H$27,SMALL(IF($B$4:$B$27=V$4,ROW($B$4:$B$27)-3),ROW($A2)),3),"")</f>
        <v/>
      </c>
    </row>
    <row r="6" spans="1:25" x14ac:dyDescent="0.25">
      <c r="A6" s="68"/>
      <c r="B6" s="105"/>
      <c r="C6" s="106"/>
      <c r="D6" s="152"/>
      <c r="E6" s="153"/>
      <c r="F6" s="153"/>
      <c r="G6" s="153"/>
      <c r="H6" s="154"/>
      <c r="I6" s="70"/>
      <c r="J6" s="170"/>
      <c r="K6" s="169"/>
      <c r="L6" s="170"/>
      <c r="M6" s="169"/>
      <c r="N6" s="170"/>
      <c r="O6" s="169"/>
      <c r="P6" s="170"/>
      <c r="Q6" s="169"/>
      <c r="R6" s="33"/>
      <c r="S6" s="31" t="str">
        <f t="array" ref="S6">IFERROR(INDEX($B$4:$H$27,SMALL(IF($B$4:$B$27=R$4,ROW($B$4:$B$27)-3),ROW($A3)),3),"")</f>
        <v/>
      </c>
      <c r="T6" s="59"/>
      <c r="U6" s="54" t="str">
        <f t="array" ref="U6">IFERROR(INDEX($B$4:$H$27,SMALL(IF($B$4:$B$27=T$4,ROW($B$4:$B$27)-3),ROW($A3)),3),"")</f>
        <v/>
      </c>
      <c r="V6" s="34"/>
      <c r="W6" s="35" t="str">
        <f t="array" ref="W6">IFERROR(INDEX($B$4:$H$27,SMALL(IF($B$4:$B$27=V$4,ROW($B$4:$B$27)-3),ROW($A3)),3),"")</f>
        <v/>
      </c>
    </row>
    <row r="7" spans="1:25" x14ac:dyDescent="0.25">
      <c r="A7" s="68"/>
      <c r="B7" s="107"/>
      <c r="C7" s="108"/>
      <c r="D7" s="152"/>
      <c r="E7" s="153"/>
      <c r="F7" s="153"/>
      <c r="G7" s="153"/>
      <c r="H7" s="154"/>
      <c r="I7" s="70"/>
      <c r="J7" s="171"/>
      <c r="K7" s="172"/>
      <c r="L7" s="171"/>
      <c r="M7" s="172"/>
      <c r="N7" s="171"/>
      <c r="O7" s="172"/>
      <c r="P7" s="171"/>
      <c r="Q7" s="172"/>
      <c r="R7" s="38"/>
      <c r="S7" s="37" t="str">
        <f t="array" ref="S7">IFERROR(INDEX($B$4:$H$27,SMALL(IF($B$4:$B$27=R$4,ROW($B$4:$B$27)-3),ROW($A4)),3),"")</f>
        <v/>
      </c>
      <c r="T7" s="60"/>
      <c r="U7" s="57" t="str">
        <f t="array" ref="U7">IFERROR(INDEX($B$4:$H$27,SMALL(IF($B$4:$B$27=T$4,ROW($B$4:$B$27)-3),ROW($A4)),3),"")</f>
        <v/>
      </c>
      <c r="V7" s="39"/>
      <c r="W7" s="40" t="str">
        <f t="array" ref="W7">IFERROR(INDEX($B$4:$H$27,SMALL(IF($B$4:$B$27=V$4,ROW($B$4:$B$27)-3),ROW($A4)),3),"")</f>
        <v/>
      </c>
    </row>
    <row r="8" spans="1:25" x14ac:dyDescent="0.25">
      <c r="A8" s="68"/>
      <c r="B8" s="107"/>
      <c r="C8" s="108"/>
      <c r="D8" s="152"/>
      <c r="E8" s="153"/>
      <c r="F8" s="153"/>
      <c r="G8" s="153"/>
      <c r="H8" s="154"/>
      <c r="I8" s="70"/>
      <c r="J8" s="41">
        <v>4</v>
      </c>
      <c r="K8" s="42" t="str">
        <f t="array" ref="K8">IFERROR(INDEX($B$4:$H$27,SMALL(IF($B$4:$B$27=J$8,ROW($B$4:$B$27)-3),ROW($A1)),3),"")</f>
        <v/>
      </c>
      <c r="L8" s="43">
        <v>5</v>
      </c>
      <c r="M8" s="25" t="str">
        <f t="array" ref="M8">IFERROR(INDEX($B$4:$H$27,SMALL(IF($B$4:$B$27=L$8,ROW($B$4:$B$27)-3),ROW($A1)),3),"")</f>
        <v/>
      </c>
      <c r="N8" s="43">
        <v>6</v>
      </c>
      <c r="O8" s="25" t="str">
        <f t="array" ref="O8">IFERROR(INDEX($B$4:$H$27,SMALL(IF($B$4:$B$27=N$8,ROW($B$4:$B$27)-3),ROW($A1)),3),"")</f>
        <v/>
      </c>
      <c r="P8" s="43">
        <v>7</v>
      </c>
      <c r="Q8" s="25" t="str">
        <f t="array" ref="Q8">IFERROR(INDEX($B$4:$H$27,SMALL(IF($B$4:$B$27=P$8,ROW($B$4:$B$27)-3),ROW($A1)),3),"")</f>
        <v/>
      </c>
      <c r="R8" s="43">
        <v>8</v>
      </c>
      <c r="S8" s="25" t="str">
        <f t="array" ref="S8">IFERROR(INDEX($B$4:$H$27,SMALL(IF($B$4:$B$27=R$8,ROW($B$4:$B$27)-3),ROW($A1)),3),"")</f>
        <v/>
      </c>
      <c r="T8" s="43">
        <v>9</v>
      </c>
      <c r="U8" s="25" t="str">
        <f t="array" ref="U8">IFERROR(INDEX($B$4:$H$27,SMALL(IF($B$4:$B$27=T$8,ROW($B$4:$B$27)-3),ROW($A1)),3),"")</f>
        <v/>
      </c>
      <c r="V8" s="43">
        <v>10</v>
      </c>
      <c r="W8" s="42" t="str">
        <f t="array" ref="W8">IFERROR(INDEX($B$4:$H$27,SMALL(IF($B$4:$B$27=V$8,ROW($B$4:$B$27)-3),ROW($A1)),3),"")</f>
        <v/>
      </c>
    </row>
    <row r="9" spans="1:25" x14ac:dyDescent="0.25">
      <c r="A9" s="68"/>
      <c r="B9" s="107"/>
      <c r="C9" s="108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</row>
    <row r="10" spans="1:25" x14ac:dyDescent="0.25">
      <c r="A10" s="68"/>
      <c r="B10" s="107"/>
      <c r="C10" s="108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</row>
    <row r="11" spans="1:25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</row>
    <row r="12" spans="1:25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11</v>
      </c>
      <c r="K12" s="29" t="str">
        <f t="array" ref="K12">IFERROR(INDEX($B$4:$H$27,SMALL(IF($B$4:$B$27=J$12,ROW($B$4:$B$27)-3),ROW($A$1)),3),"")</f>
        <v/>
      </c>
      <c r="L12" s="43">
        <v>12</v>
      </c>
      <c r="M12" s="25" t="str">
        <f t="array" ref="M12">IFERROR(INDEX($B$4:$H$27,SMALL(IF($B$4:$B$27=L$12,ROW($B$4:$B$27)-3),ROW($A$1)),3),"")</f>
        <v/>
      </c>
      <c r="N12" s="43">
        <v>13</v>
      </c>
      <c r="O12" s="25" t="str">
        <f t="array" ref="O12">IFERROR(INDEX($B$4:$H$27,SMALL(IF($B$4:$B$27=N$12,ROW($B$4:$B$27)-3),ROW($A$1)),3),"")</f>
        <v/>
      </c>
      <c r="P12" s="43">
        <v>14</v>
      </c>
      <c r="Q12" s="27" t="str">
        <f t="array" ref="Q12">IFERROR(INDEX($B$4:$H$27,SMALL(IF($B$4:$B$27=P$12,ROW($B$4:$B$27)-3),ROW($A$1)),3),"")</f>
        <v/>
      </c>
      <c r="R12" s="43">
        <v>15</v>
      </c>
      <c r="S12" s="58" t="str">
        <f t="array" ref="S12">IFERROR(INDEX($B$4:$H$27,SMALL(IF($B$4:$B$27=R$12,ROW($B$4:$B$27)-3),ROW($A$1)),3),"")</f>
        <v>Proc. República</v>
      </c>
      <c r="T12" s="43">
        <v>16</v>
      </c>
      <c r="U12" s="27" t="str">
        <f t="array" ref="U12">IFERROR(INDEX($B$4:$H$27,SMALL(IF($B$4:$B$27=T$12,ROW($B$4:$B$27)-3),ROW($A$1)),3),"")</f>
        <v/>
      </c>
      <c r="V12" s="28">
        <v>17</v>
      </c>
      <c r="W12" s="29" t="str">
        <f t="array" ref="W12">IFERROR(INDEX($B$4:$H$27,SMALL(IF($B$4:$B$27=V$12,ROW($B$4:$B$27)-3),ROW($A$1)),3),"")</f>
        <v/>
      </c>
    </row>
    <row r="13" spans="1:25" ht="15" customHeight="1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53"/>
      <c r="S13" s="54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</row>
    <row r="14" spans="1:25" ht="15" customHeight="1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55"/>
      <c r="S14" s="54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</row>
    <row r="15" spans="1:25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56"/>
      <c r="S15" s="5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</row>
    <row r="16" spans="1:25" x14ac:dyDescent="0.25">
      <c r="A16" s="68"/>
      <c r="B16" s="107"/>
      <c r="C16" s="108"/>
      <c r="D16" s="152"/>
      <c r="E16" s="153"/>
      <c r="F16" s="153"/>
      <c r="G16" s="153"/>
      <c r="H16" s="154"/>
      <c r="J16" s="26">
        <v>18</v>
      </c>
      <c r="K16" s="29" t="str">
        <f t="array" ref="K16">IFERROR(INDEX($B$4:$H$27,SMALL(IF($B$4:$B$27=J$16,ROW($B$4:$B$27)-3),ROW($A1)),3),"")</f>
        <v/>
      </c>
      <c r="L16" s="43">
        <v>19</v>
      </c>
      <c r="M16" s="25" t="str">
        <f t="array" ref="M16">IFERROR(INDEX($B$4:$H$27,SMALL(IF($B$4:$B$27=L$16,ROW($B$4:$B$27)-3),ROW($A1)),3),"")</f>
        <v/>
      </c>
      <c r="N16" s="43">
        <v>20</v>
      </c>
      <c r="O16" s="25" t="str">
        <f t="array" ref="O16">IFERROR(INDEX($B$4:$H$27,SMALL(IF($B$4:$B$27=N$16,ROW($B$4:$B$27)-3),ROW($A1)),3),"")</f>
        <v/>
      </c>
      <c r="P16" s="43">
        <v>21</v>
      </c>
      <c r="Q16" s="27" t="str">
        <f t="array" ref="Q16">IFERROR(INDEX($B$4:$H$27,SMALL(IF($B$4:$B$27=P$16,ROW($B$4:$B$27)-3),ROW($A1)),3),"")</f>
        <v/>
      </c>
      <c r="R16" s="43">
        <v>22</v>
      </c>
      <c r="S16" s="25" t="str">
        <f t="array" ref="S16">IFERROR(INDEX($B$4:$H$27,SMALL(IF($B$4:$B$27=R$16,ROW($B$4:$B$27)-3),ROW($A1)),3),"")</f>
        <v/>
      </c>
      <c r="T16" s="43">
        <v>23</v>
      </c>
      <c r="U16" s="27" t="str">
        <f t="array" ref="U16">IFERROR(INDEX($B$4:$H$27,SMALL(IF($B$4:$B$27=T$16,ROW($B$4:$B$27)-3),ROW($A1)),3),"")</f>
        <v/>
      </c>
      <c r="V16" s="26">
        <v>24</v>
      </c>
      <c r="W16" s="29" t="str">
        <f t="array" ref="W16">IFERROR(INDEX($B$4:$H$27,SMALL(IF($B$4:$B$27=V$16,ROW($B$4:$B$27)-3),ROW($A1)),3),"")</f>
        <v/>
      </c>
    </row>
    <row r="17" spans="1:24" x14ac:dyDescent="0.25">
      <c r="A17" s="68"/>
      <c r="B17" s="107"/>
      <c r="C17" s="108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69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I19" s="70"/>
      <c r="J19" s="39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25</v>
      </c>
      <c r="K20" s="29" t="str">
        <f t="array" ref="K20">IFERROR(INDEX($B$4:$H$27,SMALL(IF($B$4:$B$27=J$20,ROW($B$4:$B$27)-3),ROW($A1)),3),"")</f>
        <v/>
      </c>
      <c r="L20" s="28">
        <v>26</v>
      </c>
      <c r="M20" s="25" t="str">
        <f t="array" ref="M20">IFERROR(INDEX($B$4:$H$27,SMALL(IF($B$4:$B$27=L$20,ROW($B$4:$B$27)-3),ROW($A1)),3),"")</f>
        <v/>
      </c>
      <c r="N20" s="43">
        <v>27</v>
      </c>
      <c r="O20" s="25" t="str">
        <f t="array" ref="O20">IFERROR(INDEX($B$4:$H$27,SMALL(IF($B$4:$B$27=N$20,ROW($B$4:$B$27)-3),ROW($A1)),3),"")</f>
        <v/>
      </c>
      <c r="P20" s="43">
        <v>28</v>
      </c>
      <c r="Q20" s="25" t="str">
        <f t="array" ref="Q20">IFERROR(INDEX($B$4:$H$27,SMALL(IF($B$4:$B$27=P$20,ROW($B$4:$B$27)-3),ROW($A1)),3),"")</f>
        <v/>
      </c>
      <c r="R20" s="43">
        <v>29</v>
      </c>
      <c r="S20" s="25" t="str">
        <f t="array" ref="S20">IFERROR(INDEX($B$4:$H$27,SMALL(IF($B$4:$B$27=R$20,ROW($B$4:$B$27)-3),ROW($A1)),3),"")</f>
        <v/>
      </c>
      <c r="T20" s="43">
        <v>30</v>
      </c>
      <c r="U20" s="144" t="str">
        <f t="array" ref="U20">IFERROR(INDEX($B$4:$H$27,SMALL(IF($B$4:$B$27=T$20,ROW($B$4:$B$27)-3),ROW($A1)),3),"")</f>
        <v/>
      </c>
      <c r="V20" s="79"/>
      <c r="W20" s="80"/>
    </row>
    <row r="21" spans="1:24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45"/>
      <c r="O21" s="31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45"/>
      <c r="S21" s="31" t="str">
        <f t="array" ref="S21">IFERROR(INDEX($B$4:$H$27,SMALL(IF($B$4:$B$27=R$20,ROW($B$4:$B$27)-3),ROW($A2)),3),"")</f>
        <v/>
      </c>
      <c r="T21" s="141"/>
      <c r="U21" s="135" t="str">
        <f t="array" ref="U21">IFERROR(INDEX($B$4:$H$27,SMALL(IF($B$4:$B$27=T$20,ROW($B$4:$B$27)-3),ROW($A2)),3),"")</f>
        <v/>
      </c>
      <c r="V21" s="79"/>
      <c r="W21" s="80"/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33"/>
      <c r="O22" s="31" t="str">
        <f t="array" ref="O22">IFERROR(INDEX($B$4:$H$27,SMALL(IF($B$4:$B$27=N$20,ROW($B$4:$B$27)-3),ROW($A3)),3),"")</f>
        <v/>
      </c>
      <c r="P22" s="33"/>
      <c r="Q22" s="31" t="str">
        <f t="array" ref="Q22">IFERROR(INDEX($B$4:$H$27,SMALL(IF($B$4:$B$27=P$20,ROW($B$4:$B$27)-3),ROW($A3)),3),"")</f>
        <v/>
      </c>
      <c r="R22" s="33"/>
      <c r="S22" s="31" t="str">
        <f t="array" ref="S22">IFERROR(INDEX($B$4:$H$27,SMALL(IF($B$4:$B$27=R$20,ROW($B$4:$B$27)-3),ROW($A3)),3),"")</f>
        <v/>
      </c>
      <c r="T22" s="142"/>
      <c r="U22" s="135" t="str">
        <f t="array" ref="U22">IFERROR(INDEX($B$4:$H$27,SMALL(IF($B$4:$B$27=T$20,ROW($B$4:$B$27)-3),ROW($A3)),3),"")</f>
        <v/>
      </c>
      <c r="V22" s="79"/>
      <c r="W22" s="80"/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47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38"/>
      <c r="O23" s="37" t="str">
        <f t="array" ref="O23">IFERROR(INDEX($B$4:$H$27,SMALL(IF($B$4:$B$27=N$20,ROW($B$4:$B$27)-3),ROW($A4)),3),"")</f>
        <v/>
      </c>
      <c r="P23" s="38"/>
      <c r="Q23" s="37" t="str">
        <f t="array" ref="Q23">IFERROR(INDEX($B$4:$H$27,SMALL(IF($B$4:$B$27=P$20,ROW($B$4:$B$27)-3),ROW($A4)),3),"")</f>
        <v/>
      </c>
      <c r="R23" s="38"/>
      <c r="S23" s="37" t="str">
        <f t="array" ref="S23">IFERROR(INDEX($B$4:$H$27,SMALL(IF($B$4:$B$27=R$20,ROW($B$4:$B$27)-3),ROW($A4)),3),"")</f>
        <v/>
      </c>
      <c r="T23" s="143"/>
      <c r="U23" s="136" t="str">
        <f t="array" ref="U23">IFERROR(INDEX($B$4:$H$27,SMALL(IF($B$4:$B$27=T$20,ROW($B$4:$B$27)-3),ROW($A4)),3),"")</f>
        <v/>
      </c>
      <c r="V23" s="83"/>
      <c r="W23" s="84"/>
    </row>
    <row r="24" spans="1:24" x14ac:dyDescent="0.25">
      <c r="B24" s="111"/>
      <c r="C24" s="112"/>
      <c r="D24" s="161"/>
      <c r="E24" s="162"/>
      <c r="F24" s="162"/>
      <c r="G24" s="162"/>
      <c r="H24" s="163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</row>
    <row r="25" spans="1:24" x14ac:dyDescent="0.25">
      <c r="B25" s="112"/>
      <c r="C25" s="112"/>
      <c r="D25" s="161"/>
      <c r="E25" s="162"/>
      <c r="F25" s="162"/>
      <c r="G25" s="162"/>
      <c r="H25" s="163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</row>
    <row r="26" spans="1:24" x14ac:dyDescent="0.25">
      <c r="B26" s="112"/>
      <c r="C26" s="112"/>
      <c r="D26" s="161"/>
      <c r="E26" s="162"/>
      <c r="F26" s="162"/>
      <c r="G26" s="162"/>
      <c r="H26" s="163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</row>
    <row r="27" spans="1:24" x14ac:dyDescent="0.25">
      <c r="B27" s="112"/>
      <c r="C27" s="112"/>
      <c r="D27" s="161"/>
      <c r="E27" s="162"/>
      <c r="F27" s="162"/>
      <c r="G27" s="162"/>
      <c r="H27" s="163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</row>
    <row r="28" spans="1:24" s="66" customFormat="1" x14ac:dyDescent="0.25"/>
    <row r="29" spans="1:24" s="82" customFormat="1" hidden="1" x14ac:dyDescent="0.25">
      <c r="A29" s="66"/>
      <c r="I29" s="66"/>
      <c r="X29" s="66"/>
    </row>
    <row r="30" spans="1:24" s="82" customFormat="1" hidden="1" x14ac:dyDescent="0.25">
      <c r="A30" s="66"/>
      <c r="I30" s="66"/>
      <c r="X30" s="66"/>
    </row>
  </sheetData>
  <sheetProtection algorithmName="SHA-512" hashValue="52vdOYrm1E/ho6QV+mNKd6D6tkrZCKDirD9XvT/ZKKpLE6nILywnYEh8n1yDUBF4XoJezU0nHc4ljt0ye/2LiA==" saltValue="pYyZFN8egBYxAbE185tLvw==" spinCount="100000" sheet="1" objects="1" scenarios="1" selectLockedCells="1"/>
  <mergeCells count="47">
    <mergeCell ref="L7:M7"/>
    <mergeCell ref="N7:O7"/>
    <mergeCell ref="P7:Q7"/>
    <mergeCell ref="D24:H24"/>
    <mergeCell ref="D25:H25"/>
    <mergeCell ref="D19:H19"/>
    <mergeCell ref="D20:H20"/>
    <mergeCell ref="D21:H21"/>
    <mergeCell ref="J7:K7"/>
    <mergeCell ref="D26:H26"/>
    <mergeCell ref="D27:H27"/>
    <mergeCell ref="D7:H7"/>
    <mergeCell ref="D8:H8"/>
    <mergeCell ref="D9:H9"/>
    <mergeCell ref="D10:H10"/>
    <mergeCell ref="D11:H11"/>
    <mergeCell ref="D12:H12"/>
    <mergeCell ref="D22:H22"/>
    <mergeCell ref="D23:H23"/>
    <mergeCell ref="D13:H13"/>
    <mergeCell ref="D14:H14"/>
    <mergeCell ref="D15:H15"/>
    <mergeCell ref="D16:H16"/>
    <mergeCell ref="D17:H17"/>
    <mergeCell ref="D18:H18"/>
    <mergeCell ref="V3:W3"/>
    <mergeCell ref="B2:H2"/>
    <mergeCell ref="D3:H3"/>
    <mergeCell ref="J2:K2"/>
    <mergeCell ref="M2:U2"/>
    <mergeCell ref="J3:K3"/>
    <mergeCell ref="L3:M3"/>
    <mergeCell ref="N3:O3"/>
    <mergeCell ref="P3:Q3"/>
    <mergeCell ref="R3:S3"/>
    <mergeCell ref="T3:U3"/>
    <mergeCell ref="D4:H4"/>
    <mergeCell ref="D5:H5"/>
    <mergeCell ref="D6:H6"/>
    <mergeCell ref="J5:K5"/>
    <mergeCell ref="J6:K6"/>
    <mergeCell ref="L5:M5"/>
    <mergeCell ref="P6:Q6"/>
    <mergeCell ref="N6:O6"/>
    <mergeCell ref="P5:Q5"/>
    <mergeCell ref="N5:O5"/>
    <mergeCell ref="L6:M6"/>
  </mergeCells>
  <conditionalFormatting sqref="B4:H27">
    <cfRule type="notContainsBlanks" dxfId="17" priority="1">
      <formula>LEN(TRIM(B4))&gt;0</formula>
    </cfRule>
  </conditionalFormatting>
  <hyperlinks>
    <hyperlink ref="J2:K2" location="Outubro!A1" display="←  Outubro"/>
    <hyperlink ref="W2" location="Dezembro!A1" display="Dezembro  →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Z30"/>
  <sheetViews>
    <sheetView workbookViewId="0">
      <selection activeCell="J2" sqref="J2:K2"/>
    </sheetView>
  </sheetViews>
  <sheetFormatPr defaultColWidth="0" defaultRowHeight="15" zeroHeight="1" x14ac:dyDescent="0.25"/>
  <cols>
    <col min="1" max="1" width="1.42578125" style="66" customWidth="1"/>
    <col min="2" max="3" width="10" customWidth="1"/>
    <col min="4" max="5" width="9.140625" customWidth="1"/>
    <col min="6" max="6" width="8.28515625" customWidth="1"/>
    <col min="7" max="7" width="8.5703125" customWidth="1"/>
    <col min="8" max="8" width="17.140625" customWidth="1"/>
    <col min="9" max="9" width="2.85546875" style="66" customWidth="1"/>
    <col min="10" max="10" width="2.85546875" customWidth="1"/>
    <col min="11" max="11" width="17.140625" customWidth="1"/>
    <col min="12" max="12" width="2.85546875" customWidth="1"/>
    <col min="13" max="13" width="17.140625" customWidth="1"/>
    <col min="14" max="14" width="2.85546875" customWidth="1"/>
    <col min="15" max="15" width="17.140625" customWidth="1"/>
    <col min="16" max="16" width="2.85546875" customWidth="1"/>
    <col min="17" max="17" width="17.140625" customWidth="1"/>
    <col min="18" max="18" width="2.85546875" customWidth="1"/>
    <col min="19" max="19" width="17.140625" customWidth="1"/>
    <col min="20" max="20" width="2.85546875" customWidth="1"/>
    <col min="21" max="21" width="17.140625" customWidth="1"/>
    <col min="22" max="22" width="2.85546875" customWidth="1"/>
    <col min="23" max="23" width="17.140625" customWidth="1"/>
    <col min="24" max="24" width="1.42578125" style="66" customWidth="1"/>
    <col min="25" max="26" width="0" hidden="1" customWidth="1"/>
    <col min="27" max="16384" width="9.140625" hidden="1"/>
  </cols>
  <sheetData>
    <row r="1" spans="1:25" s="66" customFormat="1" ht="6.75" customHeight="1" x14ac:dyDescent="0.25">
      <c r="A1" s="139"/>
    </row>
    <row r="2" spans="1:25" ht="18.75" x14ac:dyDescent="0.3">
      <c r="A2" s="137">
        <f ca="1">TODAY()</f>
        <v>43220</v>
      </c>
      <c r="B2" s="174" t="s">
        <v>7</v>
      </c>
      <c r="C2" s="174"/>
      <c r="D2" s="174"/>
      <c r="E2" s="174"/>
      <c r="F2" s="174"/>
      <c r="G2" s="174"/>
      <c r="H2" s="174"/>
      <c r="J2" s="176" t="s">
        <v>35</v>
      </c>
      <c r="K2" s="176"/>
      <c r="L2" s="17"/>
      <c r="M2" s="164" t="s">
        <v>74</v>
      </c>
      <c r="N2" s="164"/>
      <c r="O2" s="164"/>
      <c r="P2" s="164"/>
      <c r="Q2" s="164"/>
      <c r="R2" s="164"/>
      <c r="S2" s="164"/>
      <c r="T2" s="164"/>
      <c r="U2" s="164"/>
      <c r="V2" s="18"/>
      <c r="W2" s="19"/>
      <c r="Y2" s="1"/>
    </row>
    <row r="3" spans="1:25" x14ac:dyDescent="0.25">
      <c r="A3" s="137">
        <f ca="1">MONTH(A2)</f>
        <v>4</v>
      </c>
      <c r="B3" s="2" t="s">
        <v>8</v>
      </c>
      <c r="C3" s="2" t="s">
        <v>9</v>
      </c>
      <c r="D3" s="175" t="s">
        <v>10</v>
      </c>
      <c r="E3" s="175"/>
      <c r="F3" s="175"/>
      <c r="G3" s="175"/>
      <c r="H3" s="175"/>
      <c r="J3" s="166" t="s">
        <v>0</v>
      </c>
      <c r="K3" s="167"/>
      <c r="L3" s="166" t="s">
        <v>1</v>
      </c>
      <c r="M3" s="167"/>
      <c r="N3" s="166" t="s">
        <v>2</v>
      </c>
      <c r="O3" s="155"/>
      <c r="P3" s="173" t="s">
        <v>6</v>
      </c>
      <c r="Q3" s="156"/>
      <c r="R3" s="155" t="s">
        <v>3</v>
      </c>
      <c r="S3" s="156"/>
      <c r="T3" s="173" t="s">
        <v>4</v>
      </c>
      <c r="U3" s="156"/>
      <c r="V3" s="155" t="s">
        <v>5</v>
      </c>
      <c r="W3" s="156"/>
    </row>
    <row r="4" spans="1:25" x14ac:dyDescent="0.25">
      <c r="A4" s="137">
        <f ca="1">DAY(A2)</f>
        <v>30</v>
      </c>
      <c r="B4" s="103">
        <v>25</v>
      </c>
      <c r="C4" s="104">
        <v>0</v>
      </c>
      <c r="D4" s="152" t="s">
        <v>36</v>
      </c>
      <c r="E4" s="153"/>
      <c r="F4" s="153"/>
      <c r="G4" s="153"/>
      <c r="H4" s="154"/>
      <c r="I4" s="70"/>
      <c r="J4" s="79"/>
      <c r="K4" s="80"/>
      <c r="L4" s="79"/>
      <c r="M4" s="80"/>
      <c r="N4" s="79"/>
      <c r="O4" s="100"/>
      <c r="P4" s="101"/>
      <c r="Q4" s="100"/>
      <c r="R4" s="101"/>
      <c r="S4" s="100"/>
      <c r="T4" s="101"/>
      <c r="U4" s="100"/>
      <c r="V4" s="26">
        <v>1</v>
      </c>
      <c r="W4" s="29" t="str">
        <f t="array" ref="W4">IFERROR(INDEX($B$4:$H$27,SMALL(IF($B$4:$B$27=V$4,ROW($B$4:$B$27)-3),ROW($A1)),3),"")</f>
        <v/>
      </c>
    </row>
    <row r="5" spans="1:25" x14ac:dyDescent="0.25">
      <c r="A5" s="138">
        <v>12</v>
      </c>
      <c r="B5" s="103"/>
      <c r="C5" s="104"/>
      <c r="D5" s="152"/>
      <c r="E5" s="153"/>
      <c r="F5" s="153"/>
      <c r="G5" s="153"/>
      <c r="H5" s="154"/>
      <c r="I5" s="70"/>
      <c r="J5" s="168"/>
      <c r="K5" s="169"/>
      <c r="L5" s="168"/>
      <c r="M5" s="169"/>
      <c r="N5" s="168"/>
      <c r="O5" s="169"/>
      <c r="P5" s="168"/>
      <c r="Q5" s="169"/>
      <c r="R5" s="168"/>
      <c r="S5" s="169"/>
      <c r="T5" s="168"/>
      <c r="U5" s="169"/>
      <c r="V5" s="34"/>
      <c r="W5" s="35" t="str">
        <f t="array" ref="W5">IFERROR(INDEX($B$4:$H$27,SMALL(IF($B$4:$B$27=V$4,ROW($B$4:$B$27)-3),ROW($A2)),3),"")</f>
        <v/>
      </c>
    </row>
    <row r="6" spans="1:25" x14ac:dyDescent="0.25">
      <c r="A6" s="68"/>
      <c r="B6" s="105"/>
      <c r="C6" s="106"/>
      <c r="D6" s="152"/>
      <c r="E6" s="153"/>
      <c r="F6" s="153"/>
      <c r="G6" s="153"/>
      <c r="H6" s="154"/>
      <c r="I6" s="70"/>
      <c r="J6" s="170"/>
      <c r="K6" s="169"/>
      <c r="L6" s="170"/>
      <c r="M6" s="169"/>
      <c r="N6" s="170"/>
      <c r="O6" s="169"/>
      <c r="P6" s="170"/>
      <c r="Q6" s="169"/>
      <c r="R6" s="170"/>
      <c r="S6" s="169"/>
      <c r="T6" s="170"/>
      <c r="U6" s="169"/>
      <c r="V6" s="34"/>
      <c r="W6" s="35" t="str">
        <f t="array" ref="W6">IFERROR(INDEX($B$4:$H$27,SMALL(IF($B$4:$B$27=V$4,ROW($B$4:$B$27)-3),ROW($A3)),3),"")</f>
        <v/>
      </c>
    </row>
    <row r="7" spans="1:25" x14ac:dyDescent="0.25">
      <c r="A7" s="68"/>
      <c r="B7" s="107"/>
      <c r="C7" s="108"/>
      <c r="D7" s="152"/>
      <c r="E7" s="153"/>
      <c r="F7" s="153"/>
      <c r="G7" s="153"/>
      <c r="H7" s="154"/>
      <c r="I7" s="70"/>
      <c r="J7" s="171"/>
      <c r="K7" s="172"/>
      <c r="L7" s="171"/>
      <c r="M7" s="172"/>
      <c r="N7" s="171"/>
      <c r="O7" s="172"/>
      <c r="P7" s="171"/>
      <c r="Q7" s="172"/>
      <c r="R7" s="171"/>
      <c r="S7" s="172"/>
      <c r="T7" s="171"/>
      <c r="U7" s="172"/>
      <c r="V7" s="39"/>
      <c r="W7" s="40" t="str">
        <f t="array" ref="W7">IFERROR(INDEX($B$4:$H$27,SMALL(IF($B$4:$B$27=V$4,ROW($B$4:$B$27)-3),ROW($A4)),3),"")</f>
        <v/>
      </c>
    </row>
    <row r="8" spans="1:25" x14ac:dyDescent="0.25">
      <c r="A8" s="68"/>
      <c r="B8" s="107"/>
      <c r="C8" s="108"/>
      <c r="D8" s="152"/>
      <c r="E8" s="153"/>
      <c r="F8" s="153"/>
      <c r="G8" s="153"/>
      <c r="H8" s="154"/>
      <c r="I8" s="70"/>
      <c r="J8" s="41">
        <v>2</v>
      </c>
      <c r="K8" s="42" t="str">
        <f t="array" ref="K8">IFERROR(INDEX($B$4:$H$27,SMALL(IF($B$4:$B$27=J$8,ROW($B$4:$B$27)-3),ROW($A1)),3),"")</f>
        <v/>
      </c>
      <c r="L8" s="43">
        <v>3</v>
      </c>
      <c r="M8" s="25" t="str">
        <f t="array" ref="M8">IFERROR(INDEX($B$4:$H$27,SMALL(IF($B$4:$B$27=L$8,ROW($B$4:$B$27)-3),ROW($A1)),3),"")</f>
        <v/>
      </c>
      <c r="N8" s="43">
        <v>4</v>
      </c>
      <c r="O8" s="25" t="str">
        <f t="array" ref="O8">IFERROR(INDEX($B$4:$H$27,SMALL(IF($B$4:$B$27=N$8,ROW($B$4:$B$27)-3),ROW($A1)),3),"")</f>
        <v/>
      </c>
      <c r="P8" s="43">
        <v>5</v>
      </c>
      <c r="Q8" s="25" t="str">
        <f t="array" ref="Q8">IFERROR(INDEX($B$4:$H$27,SMALL(IF($B$4:$B$27=P$8,ROW($B$4:$B$27)-3),ROW($A1)),3),"")</f>
        <v/>
      </c>
      <c r="R8" s="43">
        <v>6</v>
      </c>
      <c r="S8" s="25" t="str">
        <f t="array" ref="S8">IFERROR(INDEX($B$4:$H$27,SMALL(IF($B$4:$B$27=R$8,ROW($B$4:$B$27)-3),ROW($A1)),3),"")</f>
        <v/>
      </c>
      <c r="T8" s="43">
        <v>7</v>
      </c>
      <c r="U8" s="25" t="str">
        <f t="array" ref="U8">IFERROR(INDEX($B$4:$H$27,SMALL(IF($B$4:$B$27=T$8,ROW($B$4:$B$27)-3),ROW($A1)),3),"")</f>
        <v/>
      </c>
      <c r="V8" s="43">
        <v>8</v>
      </c>
      <c r="W8" s="42" t="str">
        <f t="array" ref="W8">IFERROR(INDEX($B$4:$H$27,SMALL(IF($B$4:$B$27=V$8,ROW($B$4:$B$27)-3),ROW($A1)),3),"")</f>
        <v/>
      </c>
    </row>
    <row r="9" spans="1:25" x14ac:dyDescent="0.25">
      <c r="A9" s="68"/>
      <c r="B9" s="107"/>
      <c r="C9" s="108"/>
      <c r="D9" s="152"/>
      <c r="E9" s="153"/>
      <c r="F9" s="153"/>
      <c r="G9" s="153"/>
      <c r="H9" s="154"/>
      <c r="I9" s="70"/>
      <c r="J9" s="44"/>
      <c r="K9" s="35" t="str">
        <f t="array" ref="K9">IFERROR(INDEX($B$4:$H$27,SMALL(IF($B$4:$B$27=J$8,ROW($B$4:$B$27)-3),ROW($A2)),3),"")</f>
        <v/>
      </c>
      <c r="L9" s="30"/>
      <c r="M9" s="31" t="str">
        <f t="array" ref="M9">IFERROR(INDEX($B$4:$H$27,SMALL(IF($B$4:$B$27=L$8,ROW($B$4:$B$27)-3),ROW($A2)),3),"")</f>
        <v/>
      </c>
      <c r="N9" s="45"/>
      <c r="O9" s="31" t="str">
        <f t="array" ref="O9">IFERROR(INDEX($B$4:$H$27,SMALL(IF($B$4:$B$27=N$8,ROW($B$4:$B$27)-3),ROW($A2)),3),"")</f>
        <v/>
      </c>
      <c r="P9" s="45"/>
      <c r="Q9" s="31" t="str">
        <f t="array" ref="Q9">IFERROR(INDEX($B$4:$H$27,SMALL(IF($B$4:$B$27=P$8,ROW($B$4:$B$27)-3),ROW($A2)),3),"")</f>
        <v/>
      </c>
      <c r="R9" s="30"/>
      <c r="S9" s="31" t="str">
        <f t="array" ref="S9">IFERROR(INDEX($B$4:$H$27,SMALL(IF($B$4:$B$27=R$8,ROW($B$4:$B$27)-3),ROW($A2)),3),"")</f>
        <v/>
      </c>
      <c r="T9" s="30"/>
      <c r="U9" s="31" t="str">
        <f t="array" ref="U9">IFERROR(INDEX($B$4:$H$27,SMALL(IF($B$4:$B$27=T$8,ROW($B$4:$B$27)-3),ROW($A2)),3),"")</f>
        <v/>
      </c>
      <c r="V9" s="44"/>
      <c r="W9" s="35" t="str">
        <f t="array" ref="W9">IFERROR(INDEX($B$4:$H$27,SMALL(IF($B$4:$B$27=V$8,ROW($B$4:$B$27)-3),ROW($A2)),3),"")</f>
        <v/>
      </c>
    </row>
    <row r="10" spans="1:25" x14ac:dyDescent="0.25">
      <c r="A10" s="68"/>
      <c r="B10" s="107"/>
      <c r="C10" s="108"/>
      <c r="D10" s="152"/>
      <c r="E10" s="153"/>
      <c r="F10" s="153"/>
      <c r="G10" s="153"/>
      <c r="H10" s="154"/>
      <c r="I10" s="70"/>
      <c r="J10" s="46"/>
      <c r="K10" s="35" t="str">
        <f t="array" ref="K10">IFERROR(INDEX($B$4:$H$27,SMALL(IF($B$4:$B$27=J$8,ROW($B$4:$B$27)-3),ROW($A3)),3),"")</f>
        <v/>
      </c>
      <c r="L10" s="33"/>
      <c r="M10" s="31" t="str">
        <f t="array" ref="M10">IFERROR(INDEX($B$4:$H$27,SMALL(IF($B$4:$B$27=L$8,ROW($B$4:$B$27)-3),ROW($A3)),3),"")</f>
        <v/>
      </c>
      <c r="N10" s="33"/>
      <c r="O10" s="31" t="str">
        <f t="array" ref="O10">IFERROR(INDEX($B$4:$H$27,SMALL(IF($B$4:$B$27=N$8,ROW($B$4:$B$27)-3),ROW($A3)),3),"")</f>
        <v/>
      </c>
      <c r="P10" s="33"/>
      <c r="Q10" s="31" t="str">
        <f t="array" ref="Q10">IFERROR(INDEX($B$4:$H$27,SMALL(IF($B$4:$B$27=P$8,ROW($B$4:$B$27)-3),ROW($A3)),3),"")</f>
        <v/>
      </c>
      <c r="R10" s="32"/>
      <c r="S10" s="31" t="str">
        <f t="array" ref="S10">IFERROR(INDEX($B$4:$H$27,SMALL(IF($B$4:$B$27=R$8,ROW($B$4:$B$27)-3),ROW($A3)),3),"")</f>
        <v/>
      </c>
      <c r="T10" s="32"/>
      <c r="U10" s="31" t="str">
        <f t="array" ref="U10">IFERROR(INDEX($B$4:$H$27,SMALL(IF($B$4:$B$27=T$8,ROW($B$4:$B$27)-3),ROW($A3)),3),"")</f>
        <v/>
      </c>
      <c r="V10" s="34"/>
      <c r="W10" s="35" t="str">
        <f t="array" ref="W10">IFERROR(INDEX($B$4:$H$27,SMALL(IF($B$4:$B$27=V$8,ROW($B$4:$B$27)-3),ROW($A3)),3),"")</f>
        <v/>
      </c>
    </row>
    <row r="11" spans="1:25" x14ac:dyDescent="0.25">
      <c r="A11" s="68"/>
      <c r="B11" s="105"/>
      <c r="C11" s="106"/>
      <c r="D11" s="152"/>
      <c r="E11" s="153"/>
      <c r="F11" s="153"/>
      <c r="G11" s="153"/>
      <c r="H11" s="154"/>
      <c r="I11" s="70"/>
      <c r="J11" s="47"/>
      <c r="K11" s="35" t="str">
        <f t="array" ref="K11">IFERROR(INDEX($B$4:$H$27,SMALL(IF($B$4:$B$27=J$8,ROW($B$4:$B$27)-3),ROW($A4)),3),"")</f>
        <v/>
      </c>
      <c r="L11" s="38"/>
      <c r="M11" s="37" t="str">
        <f t="array" ref="M11">IFERROR(INDEX($B$4:$H$27,SMALL(IF($B$4:$B$27=L$8,ROW($B$4:$B$27)-3),ROW($A4)),3),"")</f>
        <v/>
      </c>
      <c r="N11" s="38"/>
      <c r="O11" s="37" t="str">
        <f t="array" ref="O11">IFERROR(INDEX($B$4:$H$27,SMALL(IF($B$4:$B$27=N$8,ROW($B$4:$B$27)-3),ROW($A4)),3),"")</f>
        <v/>
      </c>
      <c r="P11" s="38"/>
      <c r="Q11" s="31" t="str">
        <f t="array" ref="Q11">IFERROR(INDEX($B$4:$H$27,SMALL(IF($B$4:$B$27=P$8,ROW($B$4:$B$27)-3),ROW($A4)),3),"")</f>
        <v/>
      </c>
      <c r="R11" s="36"/>
      <c r="S11" s="37" t="str">
        <f t="array" ref="S11">IFERROR(INDEX($B$4:$H$27,SMALL(IF($B$4:$B$27=R$8,ROW($B$4:$B$27)-3),ROW($A4)),3),"")</f>
        <v/>
      </c>
      <c r="T11" s="36"/>
      <c r="U11" s="31" t="str">
        <f t="array" ref="U11">IFERROR(INDEX($B$4:$H$27,SMALL(IF($B$4:$B$27=T$8,ROW($B$4:$B$27)-3),ROW($A4)),3),"")</f>
        <v/>
      </c>
      <c r="V11" s="39"/>
      <c r="W11" s="35" t="str">
        <f t="array" ref="W11">IFERROR(INDEX($B$4:$H$27,SMALL(IF($B$4:$B$27=V$8,ROW($B$4:$B$27)-3),ROW($A4)),3),"")</f>
        <v/>
      </c>
    </row>
    <row r="12" spans="1:25" x14ac:dyDescent="0.25">
      <c r="A12" s="68"/>
      <c r="B12" s="107"/>
      <c r="C12" s="108"/>
      <c r="D12" s="152"/>
      <c r="E12" s="153"/>
      <c r="F12" s="153"/>
      <c r="G12" s="153"/>
      <c r="H12" s="154"/>
      <c r="I12" s="70"/>
      <c r="J12" s="26">
        <v>9</v>
      </c>
      <c r="K12" s="29" t="str">
        <f t="array" ref="K12">IFERROR(INDEX($B$4:$H$27,SMALL(IF($B$4:$B$27=J$12,ROW($B$4:$B$27)-3),ROW($A$1)),3),"")</f>
        <v/>
      </c>
      <c r="L12" s="43">
        <v>10</v>
      </c>
      <c r="M12" s="25" t="str">
        <f t="array" ref="M12">IFERROR(INDEX($B$4:$H$27,SMALL(IF($B$4:$B$27=L$12,ROW($B$4:$B$27)-3),ROW($A$1)),3),"")</f>
        <v/>
      </c>
      <c r="N12" s="43">
        <v>11</v>
      </c>
      <c r="O12" s="25" t="str">
        <f t="array" ref="O12">IFERROR(INDEX($B$4:$H$27,SMALL(IF($B$4:$B$27=N$12,ROW($B$4:$B$27)-3),ROW($A$1)),3),"")</f>
        <v/>
      </c>
      <c r="P12" s="43">
        <v>12</v>
      </c>
      <c r="Q12" s="27" t="str">
        <f t="array" ref="Q12">IFERROR(INDEX($B$4:$H$27,SMALL(IF($B$4:$B$27=P$12,ROW($B$4:$B$27)-3),ROW($A$1)),3),"")</f>
        <v/>
      </c>
      <c r="R12" s="43">
        <v>13</v>
      </c>
      <c r="S12" s="25" t="str">
        <f t="array" ref="S12">IFERROR(INDEX($B$4:$H$27,SMALL(IF($B$4:$B$27=R$12,ROW($B$4:$B$27)-3),ROW($A$1)),3),"")</f>
        <v/>
      </c>
      <c r="T12" s="43">
        <v>14</v>
      </c>
      <c r="U12" s="27" t="str">
        <f t="array" ref="U12">IFERROR(INDEX($B$4:$H$27,SMALL(IF($B$4:$B$27=T$12,ROW($B$4:$B$27)-3),ROW($A$1)),3),"")</f>
        <v/>
      </c>
      <c r="V12" s="28">
        <v>15</v>
      </c>
      <c r="W12" s="29" t="str">
        <f t="array" ref="W12">IFERROR(INDEX($B$4:$H$27,SMALL(IF($B$4:$B$27=V$12,ROW($B$4:$B$27)-3),ROW($A$1)),3),"")</f>
        <v/>
      </c>
    </row>
    <row r="13" spans="1:25" x14ac:dyDescent="0.25">
      <c r="A13" s="68"/>
      <c r="B13" s="105"/>
      <c r="C13" s="106"/>
      <c r="D13" s="152"/>
      <c r="E13" s="153"/>
      <c r="F13" s="153"/>
      <c r="G13" s="153"/>
      <c r="H13" s="154"/>
      <c r="I13" s="70"/>
      <c r="J13" s="34"/>
      <c r="K13" s="35" t="str">
        <f t="array" ref="K13">IFERROR(INDEX($B$4:$H$27,SMALL(IF($B$4:$B$27=J$12,ROW($B$4:$B$27)-3),ROW($A$2)),3),"")</f>
        <v/>
      </c>
      <c r="L13" s="45"/>
      <c r="M13" s="31" t="str">
        <f t="array" ref="M13">IFERROR(INDEX($B$4:$H$27,SMALL(IF($B$4:$B$27=L$12,ROW($B$4:$B$27)-3),ROW($A$2)),3),"")</f>
        <v/>
      </c>
      <c r="N13" s="45"/>
      <c r="O13" s="31" t="str">
        <f t="array" ref="O13">IFERROR(INDEX($B$4:$H$27,SMALL(IF($B$4:$B$27=N$12,ROW($B$4:$B$27)-3),ROW($A$2)),3),"")</f>
        <v/>
      </c>
      <c r="P13" s="45"/>
      <c r="Q13" s="31" t="str">
        <f t="array" ref="Q13">IFERROR(INDEX($B$4:$H$27,SMALL(IF($B$4:$B$27=P$12,ROW($B$4:$B$27)-3),ROW($A$2)),3),"")</f>
        <v/>
      </c>
      <c r="R13" s="30"/>
      <c r="S13" s="31" t="str">
        <f t="array" ref="S13">IFERROR(INDEX($B$4:$H$27,SMALL(IF($B$4:$B$27=R$12,ROW($B$4:$B$27)-3),ROW($A$2)),3),"")</f>
        <v/>
      </c>
      <c r="T13" s="30"/>
      <c r="U13" s="31" t="str">
        <f t="array" ref="U13">IFERROR(INDEX($B$4:$H$27,SMALL(IF($B$4:$B$27=T$12,ROW($B$4:$B$27)-3),ROW($A$2)),3),"")</f>
        <v/>
      </c>
      <c r="V13" s="44"/>
      <c r="W13" s="35" t="str">
        <f t="array" ref="W13">IFERROR(INDEX($B$4:$H$27,SMALL(IF($B$4:$B$27=V$12,ROW($B$4:$B$27)-3),ROW($A$2)),3),"")</f>
        <v/>
      </c>
    </row>
    <row r="14" spans="1:25" x14ac:dyDescent="0.25">
      <c r="A14" s="68"/>
      <c r="B14" s="107"/>
      <c r="C14" s="108"/>
      <c r="D14" s="152"/>
      <c r="E14" s="153"/>
      <c r="F14" s="153"/>
      <c r="G14" s="153"/>
      <c r="H14" s="154"/>
      <c r="I14" s="69"/>
      <c r="J14" s="48"/>
      <c r="K14" s="35" t="str">
        <f t="array" ref="K14">IFERROR(INDEX($B$4:$H$27,SMALL(IF($B$4:$B$27=J$12,ROW($B$4:$B$27)-3),ROW($A$3)),3),"")</f>
        <v/>
      </c>
      <c r="L14" s="33"/>
      <c r="M14" s="31" t="str">
        <f t="array" ref="M14">IFERROR(INDEX($B$4:$H$27,SMALL(IF($B$4:$B$27=L$12,ROW($B$4:$B$27)-3),ROW($A$3)),3),"")</f>
        <v/>
      </c>
      <c r="N14" s="33"/>
      <c r="O14" s="31" t="str">
        <f t="array" ref="O14">IFERROR(INDEX($B$4:$H$27,SMALL(IF($B$4:$B$27=N$12,ROW($B$4:$B$27)-3),ROW($A$3)),3),"")</f>
        <v/>
      </c>
      <c r="P14" s="33"/>
      <c r="Q14" s="31" t="str">
        <f t="array" ref="Q14">IFERROR(INDEX($B$4:$H$27,SMALL(IF($B$4:$B$27=P$12,ROW($B$4:$B$27)-3),ROW($A$3)),3),"")</f>
        <v/>
      </c>
      <c r="R14" s="32"/>
      <c r="S14" s="31" t="str">
        <f t="array" ref="S14">IFERROR(INDEX($B$4:$H$27,SMALL(IF($B$4:$B$27=R$12,ROW($B$4:$B$27)-3),ROW($A$3)),3),"")</f>
        <v/>
      </c>
      <c r="T14" s="32"/>
      <c r="U14" s="31" t="str">
        <f t="array" ref="U14">IFERROR(INDEX($B$4:$H$27,SMALL(IF($B$4:$B$27=T$12,ROW($B$4:$B$27)-3),ROW($A$3)),3),"")</f>
        <v/>
      </c>
      <c r="V14" s="34"/>
      <c r="W14" s="35" t="str">
        <f t="array" ref="W14">IFERROR(INDEX($B$4:$H$27,SMALL(IF($B$4:$B$27=V$12,ROW($B$4:$B$27)-3),ROW($A$3)),3),"")</f>
        <v/>
      </c>
    </row>
    <row r="15" spans="1:25" x14ac:dyDescent="0.25">
      <c r="A15" s="68"/>
      <c r="B15" s="105"/>
      <c r="C15" s="106"/>
      <c r="D15" s="152"/>
      <c r="E15" s="153"/>
      <c r="F15" s="153"/>
      <c r="G15" s="153"/>
      <c r="H15" s="154"/>
      <c r="I15" s="69"/>
      <c r="J15" s="47"/>
      <c r="K15" s="40" t="str">
        <f t="array" ref="K15">IFERROR(INDEX($B$4:$H$27,SMALL(IF($B$4:$B$27=J$12,ROW($B$4:$B$27)-3),ROW($A$4)),3),"")</f>
        <v/>
      </c>
      <c r="L15" s="38"/>
      <c r="M15" s="37" t="str">
        <f t="array" ref="M15">IFERROR(INDEX($B$4:$H$27,SMALL(IF($B$4:$B$27=L$12,ROW($B$4:$B$27)-3),ROW($A$4)),3),"")</f>
        <v/>
      </c>
      <c r="N15" s="38"/>
      <c r="O15" s="37" t="str">
        <f t="array" ref="O15">IFERROR(INDEX($B$4:$H$27,SMALL(IF($B$4:$B$27=N$12,ROW($B$4:$B$27)-3),ROW($A$4)),3),"")</f>
        <v/>
      </c>
      <c r="P15" s="38"/>
      <c r="Q15" s="31" t="str">
        <f t="array" ref="Q15">IFERROR(INDEX($B$4:$H$27,SMALL(IF($B$4:$B$27=P$12,ROW($B$4:$B$27)-3),ROW($A$4)),3),"")</f>
        <v/>
      </c>
      <c r="R15" s="36"/>
      <c r="S15" s="37" t="str">
        <f t="array" ref="S15">IFERROR(INDEX($B$4:$H$27,SMALL(IF($B$4:$B$27=R$12,ROW($B$4:$B$27)-3),ROW($A$4)),3),"")</f>
        <v/>
      </c>
      <c r="T15" s="36"/>
      <c r="U15" s="31" t="str">
        <f t="array" ref="U15">IFERROR(INDEX($B$4:$H$27,SMALL(IF($B$4:$B$27=T$12,ROW($B$4:$B$27)-3),ROW($A$4)),3),"")</f>
        <v/>
      </c>
      <c r="V15" s="39"/>
      <c r="W15" s="40" t="str">
        <f t="array" ref="W15">IFERROR(INDEX($B$4:$H$27,SMALL(IF($B$4:$B$27=V$12,ROW($B$4:$B$27)-3),ROW($A$4)),3),"")</f>
        <v/>
      </c>
    </row>
    <row r="16" spans="1:25" x14ac:dyDescent="0.25">
      <c r="A16" s="68"/>
      <c r="B16" s="107"/>
      <c r="C16" s="108"/>
      <c r="D16" s="152"/>
      <c r="E16" s="153"/>
      <c r="F16" s="153"/>
      <c r="G16" s="153"/>
      <c r="H16" s="154"/>
      <c r="J16" s="26">
        <v>16</v>
      </c>
      <c r="K16" s="29" t="str">
        <f t="array" ref="K16">IFERROR(INDEX($B$4:$H$27,SMALL(IF($B$4:$B$27=J$16,ROW($B$4:$B$27)-3),ROW($A1)),3),"")</f>
        <v/>
      </c>
      <c r="L16" s="43">
        <v>17</v>
      </c>
      <c r="M16" s="25" t="str">
        <f t="array" ref="M16">IFERROR(INDEX($B$4:$H$27,SMALL(IF($B$4:$B$27=L$16,ROW($B$4:$B$27)-3),ROW($A1)),3),"")</f>
        <v/>
      </c>
      <c r="N16" s="43">
        <v>18</v>
      </c>
      <c r="O16" s="25" t="str">
        <f t="array" ref="O16">IFERROR(INDEX($B$4:$H$27,SMALL(IF($B$4:$B$27=N$16,ROW($B$4:$B$27)-3),ROW($A1)),3),"")</f>
        <v/>
      </c>
      <c r="P16" s="43">
        <v>19</v>
      </c>
      <c r="Q16" s="27" t="str">
        <f t="array" ref="Q16">IFERROR(INDEX($B$4:$H$27,SMALL(IF($B$4:$B$27=P$16,ROW($B$4:$B$27)-3),ROW($A1)),3),"")</f>
        <v/>
      </c>
      <c r="R16" s="43">
        <v>20</v>
      </c>
      <c r="S16" s="25" t="str">
        <f t="array" ref="S16">IFERROR(INDEX($B$4:$H$27,SMALL(IF($B$4:$B$27=R$16,ROW($B$4:$B$27)-3),ROW($A1)),3),"")</f>
        <v/>
      </c>
      <c r="T16" s="43">
        <v>21</v>
      </c>
      <c r="U16" s="27" t="str">
        <f t="array" ref="U16">IFERROR(INDEX($B$4:$H$27,SMALL(IF($B$4:$B$27=T$16,ROW($B$4:$B$27)-3),ROW($A1)),3),"")</f>
        <v/>
      </c>
      <c r="V16" s="26">
        <v>22</v>
      </c>
      <c r="W16" s="29" t="str">
        <f t="array" ref="W16">IFERROR(INDEX($B$4:$H$27,SMALL(IF($B$4:$B$27=V$16,ROW($B$4:$B$27)-3),ROW($A1)),3),"")</f>
        <v/>
      </c>
    </row>
    <row r="17" spans="1:24" x14ac:dyDescent="0.25">
      <c r="A17" s="68"/>
      <c r="B17" s="107"/>
      <c r="C17" s="108"/>
      <c r="D17" s="152"/>
      <c r="E17" s="153"/>
      <c r="F17" s="153"/>
      <c r="G17" s="153"/>
      <c r="H17" s="154"/>
      <c r="I17" s="69"/>
      <c r="J17" s="34"/>
      <c r="K17" s="35" t="str">
        <f t="array" ref="K17">IFERROR(INDEX($B$4:$H$27,SMALL(IF($B$4:$B$27=J$16,ROW($B$4:$B$27)-3),ROW($A2)),3),"")</f>
        <v/>
      </c>
      <c r="L17" s="30"/>
      <c r="M17" s="31" t="str">
        <f t="array" ref="M17">IFERROR(INDEX($B$4:$H$27,SMALL(IF($B$4:$B$27=L$16,ROW($B$4:$B$27)-3),ROW($A2)),3),"")</f>
        <v/>
      </c>
      <c r="N17" s="45"/>
      <c r="O17" s="31" t="str">
        <f t="array" ref="O17">IFERROR(INDEX($B$4:$H$27,SMALL(IF($B$4:$B$27=N$16,ROW($B$4:$B$27)-3),ROW($A2)),3),"")</f>
        <v/>
      </c>
      <c r="P17" s="45"/>
      <c r="Q17" s="31" t="str">
        <f t="array" ref="Q17">IFERROR(INDEX($B$4:$H$27,SMALL(IF($B$4:$B$27=P$16,ROW($B$4:$B$27)-3),ROW($A2)),3),"")</f>
        <v/>
      </c>
      <c r="R17" s="30"/>
      <c r="S17" s="31" t="str">
        <f t="array" ref="S17">IFERROR(INDEX($B$4:$H$27,SMALL(IF($B$4:$B$27=R$16,ROW($B$4:$B$27)-3),ROW($A2)),3),"")</f>
        <v/>
      </c>
      <c r="T17" s="30"/>
      <c r="U17" s="31" t="str">
        <f t="array" ref="U17">IFERROR(INDEX($B$4:$H$27,SMALL(IF($B$4:$B$27=T$16,ROW($B$4:$B$27)-3),ROW($A2)),3),"")</f>
        <v/>
      </c>
      <c r="V17" s="34"/>
      <c r="W17" s="35" t="str">
        <f t="array" ref="W17">IFERROR(INDEX($B$4:$H$27,SMALL(IF($B$4:$B$27=V$16,ROW($B$4:$B$27)-3),ROW($A2)),3),"")</f>
        <v/>
      </c>
    </row>
    <row r="18" spans="1:24" x14ac:dyDescent="0.25">
      <c r="A18" s="68"/>
      <c r="B18" s="105"/>
      <c r="C18" s="106"/>
      <c r="D18" s="152"/>
      <c r="E18" s="153"/>
      <c r="F18" s="153"/>
      <c r="G18" s="153"/>
      <c r="H18" s="154"/>
      <c r="I18" s="70"/>
      <c r="J18" s="48"/>
      <c r="K18" s="35" t="str">
        <f t="array" ref="K18">IFERROR(INDEX($B$4:$H$27,SMALL(IF($B$4:$B$27=J$16,ROW($B$4:$B$27)-3),ROW($A3)),3),"")</f>
        <v/>
      </c>
      <c r="L18" s="33"/>
      <c r="M18" s="31" t="str">
        <f t="array" ref="M18">IFERROR(INDEX($B$4:$H$27,SMALL(IF($B$4:$B$27=L$16,ROW($B$4:$B$27)-3),ROW($A3)),3),"")</f>
        <v/>
      </c>
      <c r="N18" s="33"/>
      <c r="O18" s="31" t="str">
        <f t="array" ref="O18">IFERROR(INDEX($B$4:$H$27,SMALL(IF($B$4:$B$27=N$16,ROW($B$4:$B$27)-3),ROW($A3)),3),"")</f>
        <v/>
      </c>
      <c r="P18" s="33"/>
      <c r="Q18" s="31" t="str">
        <f t="array" ref="Q18">IFERROR(INDEX($B$4:$H$27,SMALL(IF($B$4:$B$27=P$16,ROW($B$4:$B$27)-3),ROW($A3)),3),"")</f>
        <v/>
      </c>
      <c r="R18" s="32"/>
      <c r="S18" s="31" t="str">
        <f t="array" ref="S18">IFERROR(INDEX($B$4:$H$27,SMALL(IF($B$4:$B$27=R$16,ROW($B$4:$B$27)-3),ROW($A3)),3),"")</f>
        <v/>
      </c>
      <c r="T18" s="32"/>
      <c r="U18" s="31" t="str">
        <f t="array" ref="U18">IFERROR(INDEX($B$4:$H$27,SMALL(IF($B$4:$B$27=T$16,ROW($B$4:$B$27)-3),ROW($A3)),3),"")</f>
        <v/>
      </c>
      <c r="V18" s="34"/>
      <c r="W18" s="35" t="str">
        <f t="array" ref="W18">IFERROR(INDEX($B$4:$H$27,SMALL(IF($B$4:$B$27=V$16,ROW($B$4:$B$27)-3),ROW($A3)),3),"")</f>
        <v/>
      </c>
    </row>
    <row r="19" spans="1:24" x14ac:dyDescent="0.25">
      <c r="A19" s="68"/>
      <c r="B19" s="107"/>
      <c r="C19" s="108"/>
      <c r="D19" s="152"/>
      <c r="E19" s="153"/>
      <c r="F19" s="153"/>
      <c r="G19" s="153"/>
      <c r="H19" s="154"/>
      <c r="I19" s="70"/>
      <c r="J19" s="39"/>
      <c r="K19" s="40" t="str">
        <f t="array" ref="K19">IFERROR(INDEX($B$4:$H$27,SMALL(IF($B$4:$B$27=J$16,ROW($B$4:$B$27)-3),ROW($A4)),3),"")</f>
        <v/>
      </c>
      <c r="L19" s="38"/>
      <c r="M19" s="37" t="str">
        <f t="array" ref="M19">IFERROR(INDEX($B$4:$H$27,SMALL(IF($B$4:$B$27=L$16,ROW($B$4:$B$27)-3),ROW($A4)),3),"")</f>
        <v/>
      </c>
      <c r="N19" s="38"/>
      <c r="O19" s="37" t="str">
        <f t="array" ref="O19">IFERROR(INDEX($B$4:$H$27,SMALL(IF($B$4:$B$27=N$16,ROW($B$4:$B$27)-3),ROW($A4)),3),"")</f>
        <v/>
      </c>
      <c r="P19" s="38"/>
      <c r="Q19" s="37" t="str">
        <f t="array" ref="Q19">IFERROR(INDEX($B$4:$H$27,SMALL(IF($B$4:$B$27=P$16,ROW($B$4:$B$27)-3),ROW($A4)),3),"")</f>
        <v/>
      </c>
      <c r="R19" s="36"/>
      <c r="S19" s="37" t="str">
        <f t="array" ref="S19">IFERROR(INDEX($B$4:$H$27,SMALL(IF($B$4:$B$27=R$16,ROW($B$4:$B$27)-3),ROW($A4)),3),"")</f>
        <v/>
      </c>
      <c r="T19" s="36"/>
      <c r="U19" s="37" t="str">
        <f t="array" ref="U19">IFERROR(INDEX($B$4:$H$27,SMALL(IF($B$4:$B$27=T$16,ROW($B$4:$B$27)-3),ROW($A4)),3),"")</f>
        <v/>
      </c>
      <c r="V19" s="39"/>
      <c r="W19" s="40" t="str">
        <f t="array" ref="W19">IFERROR(INDEX($B$4:$H$27,SMALL(IF($B$4:$B$27=V$16,ROW($B$4:$B$27)-3),ROW($A4)),3),"")</f>
        <v/>
      </c>
    </row>
    <row r="20" spans="1:24" x14ac:dyDescent="0.25">
      <c r="A20" s="68"/>
      <c r="B20" s="105"/>
      <c r="C20" s="106"/>
      <c r="D20" s="152"/>
      <c r="E20" s="153"/>
      <c r="F20" s="153"/>
      <c r="G20" s="153"/>
      <c r="H20" s="154"/>
      <c r="I20" s="70"/>
      <c r="J20" s="49">
        <v>23</v>
      </c>
      <c r="K20" s="29" t="str">
        <f t="array" ref="K20">IFERROR(INDEX($B$4:$H$27,SMALL(IF($B$4:$B$27=J$20,ROW($B$4:$B$27)-3),ROW($A1)),3),"")</f>
        <v/>
      </c>
      <c r="L20" s="28">
        <v>24</v>
      </c>
      <c r="M20" s="25" t="str">
        <f t="array" ref="M20">IFERROR(INDEX($B$4:$H$27,SMALL(IF($B$4:$B$27=L$20,ROW($B$4:$B$27)-3),ROW($A1)),3),"")</f>
        <v/>
      </c>
      <c r="N20" s="43">
        <v>25</v>
      </c>
      <c r="O20" s="58" t="str">
        <f t="array" ref="O20">IFERROR(INDEX($B$4:$H$27,SMALL(IF($B$4:$B$27=N$20,ROW($B$4:$B$27)-3),ROW($A1)),3),"")</f>
        <v>Natal</v>
      </c>
      <c r="P20" s="43">
        <v>26</v>
      </c>
      <c r="Q20" s="25" t="str">
        <f t="array" ref="Q20">IFERROR(INDEX($B$4:$H$27,SMALL(IF($B$4:$B$27=P$20,ROW($B$4:$B$27)-3),ROW($A1)),3),"")</f>
        <v/>
      </c>
      <c r="R20" s="28">
        <v>27</v>
      </c>
      <c r="S20" s="25" t="str">
        <f t="array" ref="S20">IFERROR(INDEX($B$4:$H$27,SMALL(IF($B$4:$B$27=R$20,ROW($B$4:$B$27)-3),ROW($A1)),3),"")</f>
        <v/>
      </c>
      <c r="T20" s="43">
        <v>28</v>
      </c>
      <c r="U20" s="25" t="str">
        <f t="array" ref="U20">IFERROR(INDEX($B$4:$H$27,SMALL(IF($B$4:$B$27=T$20,ROW($B$4:$B$27)-3),ROW($A1)),3),"")</f>
        <v/>
      </c>
      <c r="V20" s="43">
        <v>29</v>
      </c>
      <c r="W20" s="42" t="str">
        <f t="array" ref="W20">IFERROR(INDEX($B$4:$H$27,SMALL(IF($B$4:$B$27=V$20,ROW($B$4:$B$27)-3),ROW($A1)),3),"")</f>
        <v/>
      </c>
    </row>
    <row r="21" spans="1:24" ht="15" customHeight="1" x14ac:dyDescent="0.25">
      <c r="A21" s="68"/>
      <c r="B21" s="107"/>
      <c r="C21" s="108"/>
      <c r="D21" s="152"/>
      <c r="E21" s="153"/>
      <c r="F21" s="153"/>
      <c r="G21" s="153"/>
      <c r="H21" s="154"/>
      <c r="I21" s="70"/>
      <c r="J21" s="34"/>
      <c r="K21" s="35" t="str">
        <f t="array" ref="K21">IFERROR(INDEX($B$4:$H$27,SMALL(IF($B$4:$B$27=J$20,ROW($B$4:$B$27)-3),ROW($A2)),3),"")</f>
        <v/>
      </c>
      <c r="L21" s="30"/>
      <c r="M21" s="31" t="str">
        <f t="array" ref="M21">IFERROR(INDEX($B$4:$H$27,SMALL(IF($B$4:$B$27=L$20,ROW($B$4:$B$27)-3),ROW($A2)),3),"")</f>
        <v/>
      </c>
      <c r="N21" s="62"/>
      <c r="O21" s="54" t="str">
        <f t="array" ref="O21">IFERROR(INDEX($B$4:$H$27,SMALL(IF($B$4:$B$27=N$20,ROW($B$4:$B$27)-3),ROW($A2)),3),"")</f>
        <v/>
      </c>
      <c r="P21" s="45"/>
      <c r="Q21" s="31" t="str">
        <f t="array" ref="Q21">IFERROR(INDEX($B$4:$H$27,SMALL(IF($B$4:$B$27=P$20,ROW($B$4:$B$27)-3),ROW($A2)),3),"")</f>
        <v/>
      </c>
      <c r="R21" s="30"/>
      <c r="S21" s="31" t="str">
        <f t="array" ref="S21">IFERROR(INDEX($B$4:$H$27,SMALL(IF($B$4:$B$27=R$20,ROW($B$4:$B$27)-3),ROW($A2)),3),"")</f>
        <v/>
      </c>
      <c r="T21" s="45"/>
      <c r="U21" s="31" t="str">
        <f t="array" ref="U21">IFERROR(INDEX($B$4:$H$27,SMALL(IF($B$4:$B$27=T$20,ROW($B$4:$B$27)-3),ROW($A2)),3),"")</f>
        <v/>
      </c>
      <c r="V21" s="63"/>
      <c r="W21" s="35" t="str">
        <f t="array" ref="W21">IFERROR(INDEX($B$4:$H$27,SMALL(IF($B$4:$B$27=V$20,ROW($B$4:$B$27)-3),ROW($A2)),3),"")</f>
        <v/>
      </c>
    </row>
    <row r="22" spans="1:24" x14ac:dyDescent="0.25">
      <c r="A22" s="68"/>
      <c r="B22" s="107"/>
      <c r="C22" s="108"/>
      <c r="D22" s="152"/>
      <c r="E22" s="153"/>
      <c r="F22" s="153"/>
      <c r="G22" s="153"/>
      <c r="H22" s="154"/>
      <c r="I22" s="70"/>
      <c r="J22" s="48"/>
      <c r="K22" s="35" t="str">
        <f t="array" ref="K22">IFERROR(INDEX($B$4:$H$27,SMALL(IF($B$4:$B$27=J$20,ROW($B$4:$B$27)-3),ROW($A3)),3),"")</f>
        <v/>
      </c>
      <c r="L22" s="33"/>
      <c r="M22" s="31" t="str">
        <f t="array" ref="M22">IFERROR(INDEX($B$4:$H$27,SMALL(IF($B$4:$B$27=L$20,ROW($B$4:$B$27)-3),ROW($A3)),3),"")</f>
        <v/>
      </c>
      <c r="N22" s="59"/>
      <c r="O22" s="54" t="str">
        <f t="array" ref="O22">IFERROR(INDEX($B$4:$H$27,SMALL(IF($B$4:$B$27=N$20,ROW($B$4:$B$27)-3),ROW($A3)),3),"")</f>
        <v/>
      </c>
      <c r="P22" s="33"/>
      <c r="Q22" s="31" t="str">
        <f t="array" ref="Q22">IFERROR(INDEX($B$4:$H$27,SMALL(IF($B$4:$B$27=P$20,ROW($B$4:$B$27)-3),ROW($A3)),3),"")</f>
        <v/>
      </c>
      <c r="R22" s="33"/>
      <c r="S22" s="31" t="str">
        <f t="array" ref="S22">IFERROR(INDEX($B$4:$H$27,SMALL(IF($B$4:$B$27=R$20,ROW($B$4:$B$27)-3),ROW($A3)),3),"")</f>
        <v/>
      </c>
      <c r="T22" s="33"/>
      <c r="U22" s="31" t="str">
        <f t="array" ref="U22">IFERROR(INDEX($B$4:$H$27,SMALL(IF($B$4:$B$27=T$20,ROW($B$4:$B$27)-3),ROW($A3)),3),"")</f>
        <v/>
      </c>
      <c r="V22" s="34"/>
      <c r="W22" s="35" t="str">
        <f t="array" ref="W22">IFERROR(INDEX($B$4:$H$27,SMALL(IF($B$4:$B$27=V$20,ROW($B$4:$B$27)-3),ROW($A3)),3),"")</f>
        <v/>
      </c>
    </row>
    <row r="23" spans="1:24" x14ac:dyDescent="0.25">
      <c r="A23" s="68"/>
      <c r="B23" s="109"/>
      <c r="C23" s="110"/>
      <c r="D23" s="152"/>
      <c r="E23" s="153"/>
      <c r="F23" s="153"/>
      <c r="G23" s="153"/>
      <c r="H23" s="154"/>
      <c r="I23" s="70"/>
      <c r="J23" s="39"/>
      <c r="K23" s="40" t="str">
        <f t="array" ref="K23">IFERROR(INDEX($B$4:$H$27,SMALL(IF($B$4:$B$27=J$20,ROW($B$4:$B$27)-3),ROW($A4)),3),"")</f>
        <v/>
      </c>
      <c r="L23" s="38"/>
      <c r="M23" s="37" t="str">
        <f t="array" ref="M23">IFERROR(INDEX($B$4:$H$27,SMALL(IF($B$4:$B$27=L$20,ROW($B$4:$B$27)-3),ROW($A4)),3),"")</f>
        <v/>
      </c>
      <c r="N23" s="60"/>
      <c r="O23" s="57" t="str">
        <f t="array" ref="O23">IFERROR(INDEX($B$4:$H$27,SMALL(IF($B$4:$B$27=N$20,ROW($B$4:$B$27)-3),ROW($A4)),3),"")</f>
        <v/>
      </c>
      <c r="P23" s="38"/>
      <c r="Q23" s="37" t="str">
        <f t="array" ref="Q23">IFERROR(INDEX($B$4:$H$27,SMALL(IF($B$4:$B$27=P$20,ROW($B$4:$B$27)-3),ROW($A4)),3),"")</f>
        <v/>
      </c>
      <c r="R23" s="38"/>
      <c r="S23" s="37" t="str">
        <f t="array" ref="S23">IFERROR(INDEX($B$4:$H$27,SMALL(IF($B$4:$B$27=R$20,ROW($B$4:$B$27)-3),ROW($A4)),3),"")</f>
        <v/>
      </c>
      <c r="T23" s="38"/>
      <c r="U23" s="37" t="str">
        <f t="array" ref="U23">IFERROR(INDEX($B$4:$H$27,SMALL(IF($B$4:$B$27=T$20,ROW($B$4:$B$27)-3),ROW($A4)),3),"")</f>
        <v/>
      </c>
      <c r="V23" s="39"/>
      <c r="W23" s="40" t="str">
        <f t="array" ref="W23">IFERROR(INDEX($B$4:$H$27,SMALL(IF($B$4:$B$27=V$20,ROW($B$4:$B$27)-3),ROW($A4)),3),"")</f>
        <v/>
      </c>
    </row>
    <row r="24" spans="1:24" x14ac:dyDescent="0.25">
      <c r="A24" s="68"/>
      <c r="B24" s="111"/>
      <c r="C24" s="112"/>
      <c r="D24" s="161"/>
      <c r="E24" s="162"/>
      <c r="F24" s="162"/>
      <c r="G24" s="162"/>
      <c r="H24" s="163"/>
      <c r="I24" s="70"/>
      <c r="J24" s="49">
        <v>30</v>
      </c>
      <c r="K24" s="29" t="str">
        <f t="array" ref="K24">IFERROR(INDEX($B$4:$H$27,SMALL(IF($B$4:$B$27=J$24,ROW($B$4:$B$27)-3),ROW($A1)),3),"")</f>
        <v/>
      </c>
      <c r="L24" s="51">
        <v>31</v>
      </c>
      <c r="M24" s="27" t="str">
        <f t="array" ref="M24">IFERROR(INDEX($B$4:$H$27,SMALL(IF($B$4:$B$27=L$24,ROW($B$4:$B$27)-3),ROW($A1)),3),"")</f>
        <v/>
      </c>
      <c r="N24" s="91"/>
      <c r="O24" s="92"/>
      <c r="P24" s="93"/>
      <c r="Q24" s="94"/>
      <c r="R24" s="91"/>
      <c r="S24" s="94"/>
      <c r="T24" s="95"/>
      <c r="U24" s="96"/>
      <c r="V24" s="91"/>
      <c r="W24" s="94"/>
    </row>
    <row r="25" spans="1:24" x14ac:dyDescent="0.25">
      <c r="A25" s="68"/>
      <c r="B25" s="112"/>
      <c r="C25" s="112"/>
      <c r="D25" s="161"/>
      <c r="E25" s="162"/>
      <c r="F25" s="162"/>
      <c r="G25" s="162"/>
      <c r="H25" s="163"/>
      <c r="I25" s="70"/>
      <c r="J25" s="34"/>
      <c r="K25" s="35" t="str">
        <f t="array" ref="K25">IFERROR(INDEX($B$4:$H$27,SMALL(IF($B$4:$B$27=J$24,ROW($B$4:$B$27)-3),ROW($A2)),3),"")</f>
        <v/>
      </c>
      <c r="L25" s="90"/>
      <c r="M25" s="31" t="str">
        <f t="array" ref="M25">IFERROR(INDEX($B$4:$H$27,SMALL(IF($B$4:$B$27=L$24,ROW($B$4:$B$27)-3),ROW($A2)),3),"")</f>
        <v/>
      </c>
      <c r="N25" s="190"/>
      <c r="O25" s="191"/>
      <c r="P25" s="190"/>
      <c r="Q25" s="191"/>
      <c r="R25" s="192"/>
      <c r="S25" s="191"/>
      <c r="T25" s="95"/>
      <c r="U25" s="97"/>
      <c r="V25" s="192"/>
      <c r="W25" s="191"/>
    </row>
    <row r="26" spans="1:24" x14ac:dyDescent="0.25">
      <c r="A26" s="68"/>
      <c r="B26" s="112"/>
      <c r="C26" s="112"/>
      <c r="D26" s="161"/>
      <c r="E26" s="162"/>
      <c r="F26" s="162"/>
      <c r="G26" s="162"/>
      <c r="H26" s="163"/>
      <c r="I26" s="70"/>
      <c r="J26" s="48"/>
      <c r="K26" s="35" t="str">
        <f t="array" ref="K26">IFERROR(INDEX($B$4:$H$27,SMALL(IF($B$4:$B$27=J$24,ROW($B$4:$B$27)-3),ROW($A3)),3),"")</f>
        <v/>
      </c>
      <c r="L26" s="64"/>
      <c r="M26" s="31" t="str">
        <f t="array" ref="M26">IFERROR(INDEX($B$4:$H$27,SMALL(IF($B$4:$B$27=L$24,ROW($B$4:$B$27)-3),ROW($A3)),3),"")</f>
        <v/>
      </c>
      <c r="N26" s="190"/>
      <c r="O26" s="191"/>
      <c r="P26" s="190"/>
      <c r="Q26" s="191"/>
      <c r="R26" s="192"/>
      <c r="S26" s="191"/>
      <c r="T26" s="95"/>
      <c r="U26" s="97"/>
      <c r="V26" s="192"/>
      <c r="W26" s="191"/>
    </row>
    <row r="27" spans="1:24" x14ac:dyDescent="0.25">
      <c r="A27" s="68"/>
      <c r="B27" s="112"/>
      <c r="C27" s="112"/>
      <c r="D27" s="161"/>
      <c r="E27" s="162"/>
      <c r="F27" s="162"/>
      <c r="G27" s="162"/>
      <c r="H27" s="163"/>
      <c r="I27" s="70"/>
      <c r="J27" s="47"/>
      <c r="K27" s="40" t="str">
        <f t="array" ref="K27">IFERROR(INDEX($B$4:$H$27,SMALL(IF($B$4:$B$27=J$24,ROW($B$4:$B$27)-3),ROW($A4)),3),"")</f>
        <v/>
      </c>
      <c r="L27" s="65"/>
      <c r="M27" s="37" t="str">
        <f t="array" ref="M27">IFERROR(INDEX($B$4:$H$27,SMALL(IF($B$4:$B$27=L$24,ROW($B$4:$B$27)-3),ROW($A4)),3),"")</f>
        <v/>
      </c>
      <c r="N27" s="188"/>
      <c r="O27" s="189"/>
      <c r="P27" s="193"/>
      <c r="Q27" s="189"/>
      <c r="R27" s="188"/>
      <c r="S27" s="189"/>
      <c r="T27" s="98"/>
      <c r="U27" s="99"/>
      <c r="V27" s="188"/>
      <c r="W27" s="189"/>
    </row>
    <row r="28" spans="1:24" s="66" customFormat="1" x14ac:dyDescent="0.25"/>
    <row r="29" spans="1:24" s="82" customFormat="1" hidden="1" x14ac:dyDescent="0.25">
      <c r="A29" s="66"/>
      <c r="I29" s="66"/>
      <c r="X29" s="66"/>
    </row>
    <row r="30" spans="1:24" s="82" customFormat="1" hidden="1" x14ac:dyDescent="0.25">
      <c r="A30" s="66"/>
      <c r="I30" s="66"/>
      <c r="X30" s="66"/>
    </row>
  </sheetData>
  <sheetProtection algorithmName="SHA-512" hashValue="as9RPC8PSz0dC74Ln15VInqM675QP4yXmHFeVW/PAhkmwGdVsXZhb72ZGcSehveHC6hWNWx9tBxODRy0B7hrWw==" saltValue="YNQ7iXfUM5sY0rZn307/uA==" spinCount="100000" sheet="1" objects="1" scenarios="1" selectLockedCells="1"/>
  <mergeCells count="65">
    <mergeCell ref="D22:H22"/>
    <mergeCell ref="D23:H23"/>
    <mergeCell ref="L5:M5"/>
    <mergeCell ref="N5:O5"/>
    <mergeCell ref="L6:M6"/>
    <mergeCell ref="N6:O6"/>
    <mergeCell ref="D13:H13"/>
    <mergeCell ref="D14:H14"/>
    <mergeCell ref="D15:H15"/>
    <mergeCell ref="D16:H16"/>
    <mergeCell ref="D17:H17"/>
    <mergeCell ref="D18:H18"/>
    <mergeCell ref="D19:H19"/>
    <mergeCell ref="D20:H20"/>
    <mergeCell ref="D21:H21"/>
    <mergeCell ref="D9:H9"/>
    <mergeCell ref="V27:W27"/>
    <mergeCell ref="D24:H24"/>
    <mergeCell ref="D25:H25"/>
    <mergeCell ref="N25:O25"/>
    <mergeCell ref="P25:Q25"/>
    <mergeCell ref="R25:S25"/>
    <mergeCell ref="V25:W25"/>
    <mergeCell ref="D26:H26"/>
    <mergeCell ref="N26:O26"/>
    <mergeCell ref="P26:Q26"/>
    <mergeCell ref="R26:S26"/>
    <mergeCell ref="V26:W26"/>
    <mergeCell ref="D27:H27"/>
    <mergeCell ref="N27:O27"/>
    <mergeCell ref="P27:Q27"/>
    <mergeCell ref="R27:S27"/>
    <mergeCell ref="D10:H10"/>
    <mergeCell ref="D11:H11"/>
    <mergeCell ref="D12:H12"/>
    <mergeCell ref="B2:H2"/>
    <mergeCell ref="D3:H3"/>
    <mergeCell ref="D4:H4"/>
    <mergeCell ref="D5:H5"/>
    <mergeCell ref="D6:H6"/>
    <mergeCell ref="D7:H7"/>
    <mergeCell ref="D8:H8"/>
    <mergeCell ref="J2:K2"/>
    <mergeCell ref="M2:U2"/>
    <mergeCell ref="J3:K3"/>
    <mergeCell ref="L3:M3"/>
    <mergeCell ref="N3:O3"/>
    <mergeCell ref="P3:Q3"/>
    <mergeCell ref="R3:S3"/>
    <mergeCell ref="T3:U3"/>
    <mergeCell ref="J7:K7"/>
    <mergeCell ref="J6:K6"/>
    <mergeCell ref="V3:W3"/>
    <mergeCell ref="J5:K5"/>
    <mergeCell ref="P5:Q5"/>
    <mergeCell ref="R5:S5"/>
    <mergeCell ref="T5:U5"/>
    <mergeCell ref="P6:Q6"/>
    <mergeCell ref="R6:S6"/>
    <mergeCell ref="T6:U6"/>
    <mergeCell ref="L7:M7"/>
    <mergeCell ref="N7:O7"/>
    <mergeCell ref="P7:Q7"/>
    <mergeCell ref="R7:S7"/>
    <mergeCell ref="T7:U7"/>
  </mergeCells>
  <conditionalFormatting sqref="B4:H27">
    <cfRule type="notContainsBlanks" dxfId="16" priority="1">
      <formula>LEN(TRIM(B4))&gt;0</formula>
    </cfRule>
  </conditionalFormatting>
  <hyperlinks>
    <hyperlink ref="J2:K2" location="Novembro!A1" display="←  Novembro"/>
  </hyperlink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K150"/>
  <sheetViews>
    <sheetView showGridLines="0" topLeftCell="A4" workbookViewId="0">
      <selection activeCell="B6" sqref="B6"/>
    </sheetView>
  </sheetViews>
  <sheetFormatPr defaultColWidth="0" defaultRowHeight="15" zeroHeight="1" x14ac:dyDescent="0.25"/>
  <cols>
    <col min="1" max="1" width="1.42578125" style="20" customWidth="1"/>
    <col min="2" max="2" width="16.5703125" bestFit="1" customWidth="1"/>
    <col min="3" max="3" width="16.5703125" style="5" customWidth="1"/>
    <col min="4" max="4" width="17.140625" customWidth="1"/>
    <col min="5" max="5" width="17.42578125" customWidth="1"/>
    <col min="6" max="6" width="39.140625" customWidth="1"/>
    <col min="7" max="7" width="11.42578125" customWidth="1"/>
    <col min="8" max="8" width="24.28515625" bestFit="1" customWidth="1"/>
    <col min="9" max="9" width="2.7109375" style="20" customWidth="1"/>
    <col min="10" max="10" width="33.42578125" style="20" customWidth="1"/>
    <col min="11" max="11" width="9.140625" style="20" customWidth="1"/>
    <col min="12" max="16384" width="9.140625" hidden="1"/>
  </cols>
  <sheetData>
    <row r="1" spans="2:10" s="20" customFormat="1" ht="7.5" customHeight="1" x14ac:dyDescent="0.25">
      <c r="C1" s="85"/>
      <c r="J1" s="21"/>
    </row>
    <row r="2" spans="2:10" ht="15.75" x14ac:dyDescent="0.25">
      <c r="B2" s="194" t="s">
        <v>46</v>
      </c>
      <c r="C2" s="194"/>
      <c r="D2" s="194"/>
      <c r="E2" s="194"/>
      <c r="F2" s="194"/>
      <c r="G2" s="194"/>
      <c r="H2" s="194"/>
      <c r="J2" s="86" t="s">
        <v>45</v>
      </c>
    </row>
    <row r="3" spans="2:10" ht="15.75" x14ac:dyDescent="0.25">
      <c r="B3" s="194"/>
      <c r="C3" s="194"/>
      <c r="D3" s="194"/>
      <c r="E3" s="194"/>
      <c r="F3" s="194"/>
      <c r="G3" s="194"/>
      <c r="H3" s="194"/>
      <c r="J3" s="86" t="s">
        <v>47</v>
      </c>
    </row>
    <row r="4" spans="2:10" s="20" customFormat="1" x14ac:dyDescent="0.25">
      <c r="C4" s="85"/>
    </row>
    <row r="5" spans="2:10" x14ac:dyDescent="0.25">
      <c r="B5" s="7" t="s">
        <v>37</v>
      </c>
      <c r="C5" s="8" t="s">
        <v>48</v>
      </c>
      <c r="D5" s="7" t="s">
        <v>38</v>
      </c>
      <c r="E5" s="7" t="s">
        <v>39</v>
      </c>
      <c r="F5" s="7" t="s">
        <v>40</v>
      </c>
      <c r="G5" s="7" t="s">
        <v>49</v>
      </c>
      <c r="H5" s="7" t="s">
        <v>50</v>
      </c>
    </row>
    <row r="6" spans="2:10" x14ac:dyDescent="0.25">
      <c r="B6" s="9" t="s">
        <v>41</v>
      </c>
      <c r="C6" s="10">
        <v>125</v>
      </c>
      <c r="D6" s="11">
        <v>43063</v>
      </c>
      <c r="E6" s="12">
        <f ca="1">IF(B6="","",TODAY())</f>
        <v>43220</v>
      </c>
      <c r="F6" s="13" t="str">
        <f ca="1">IF(D6="","",IF(G6="Sim","Fatura Paga",IF(D6-TODAY()&gt;30,"Prazo - Mais de 1 Mês",IF(D6=TODAY(),"Vence hoje",IF(D6&lt;TODAY(),"Venceu",IF(D6-TODAY()&lt;10,"Prazo - Menos de 10 dias",IF(D6-TODAY()&lt;15,"Prazo - Menos de 15 dias","Prazo - Menos de 1 Mês")))))))</f>
        <v>Venceu</v>
      </c>
      <c r="G6" s="14" t="s">
        <v>51</v>
      </c>
      <c r="H6" s="15"/>
    </row>
    <row r="7" spans="2:10" x14ac:dyDescent="0.25">
      <c r="B7" s="9" t="s">
        <v>42</v>
      </c>
      <c r="C7" s="10">
        <v>35.69</v>
      </c>
      <c r="D7" s="11">
        <v>43094</v>
      </c>
      <c r="E7" s="12">
        <f t="shared" ref="E7:E70" ca="1" si="0">IF(B7="","",TODAY())</f>
        <v>43220</v>
      </c>
      <c r="F7" s="13" t="str">
        <f t="shared" ref="F7:F16" ca="1" si="1">IF(D7="","",IF(G7="Sim","Fatura Paga",IF(D7-TODAY()&gt;30,"Prazo - Mais de 1 Mês",IF(D7=TODAY(),"Vence hoje",IF(D7&lt;TODAY(),"Venceu",IF(D7-TODAY()&lt;10,"Prazo - Menos de 10 dias",IF(D7-TODAY()&lt;15,"Prazo - Menos de 15 dias","Prazo - Menos de 1 Mês")))))))</f>
        <v>Venceu</v>
      </c>
      <c r="G7" s="14" t="s">
        <v>51</v>
      </c>
      <c r="H7" s="15"/>
    </row>
    <row r="8" spans="2:10" x14ac:dyDescent="0.25">
      <c r="B8" s="9" t="s">
        <v>43</v>
      </c>
      <c r="C8" s="10">
        <v>110</v>
      </c>
      <c r="D8" s="11">
        <v>43054</v>
      </c>
      <c r="E8" s="12">
        <f t="shared" ca="1" si="0"/>
        <v>43220</v>
      </c>
      <c r="F8" s="13" t="str">
        <f t="shared" ca="1" si="1"/>
        <v>Venceu</v>
      </c>
      <c r="G8" s="14" t="s">
        <v>51</v>
      </c>
      <c r="H8" s="15"/>
    </row>
    <row r="9" spans="2:10" x14ac:dyDescent="0.25">
      <c r="B9" s="9"/>
      <c r="C9" s="10"/>
      <c r="D9" s="11"/>
      <c r="E9" s="12" t="str">
        <f t="shared" ca="1" si="0"/>
        <v/>
      </c>
      <c r="F9" s="13" t="str">
        <f t="shared" ca="1" si="1"/>
        <v/>
      </c>
      <c r="G9" s="14" t="s">
        <v>52</v>
      </c>
      <c r="H9" s="15"/>
    </row>
    <row r="10" spans="2:10" x14ac:dyDescent="0.25">
      <c r="B10" s="9"/>
      <c r="C10" s="10"/>
      <c r="D10" s="11"/>
      <c r="E10" s="12" t="str">
        <f t="shared" ca="1" si="0"/>
        <v/>
      </c>
      <c r="F10" s="13" t="str">
        <f t="shared" ca="1" si="1"/>
        <v/>
      </c>
      <c r="G10" s="14" t="s">
        <v>52</v>
      </c>
      <c r="H10" s="15"/>
    </row>
    <row r="11" spans="2:10" x14ac:dyDescent="0.25">
      <c r="B11" s="9"/>
      <c r="C11" s="10"/>
      <c r="D11" s="11"/>
      <c r="E11" s="12" t="str">
        <f t="shared" ca="1" si="0"/>
        <v/>
      </c>
      <c r="F11" s="13" t="str">
        <f t="shared" ca="1" si="1"/>
        <v/>
      </c>
      <c r="G11" s="14" t="s">
        <v>52</v>
      </c>
      <c r="H11" s="15"/>
    </row>
    <row r="12" spans="2:10" x14ac:dyDescent="0.25">
      <c r="B12" s="9"/>
      <c r="C12" s="10"/>
      <c r="D12" s="11"/>
      <c r="E12" s="12" t="str">
        <f t="shared" ca="1" si="0"/>
        <v/>
      </c>
      <c r="F12" s="13" t="str">
        <f t="shared" ca="1" si="1"/>
        <v/>
      </c>
      <c r="G12" s="14" t="s">
        <v>52</v>
      </c>
      <c r="H12" s="15"/>
    </row>
    <row r="13" spans="2:10" x14ac:dyDescent="0.25">
      <c r="B13" s="9"/>
      <c r="C13" s="10"/>
      <c r="D13" s="11"/>
      <c r="E13" s="12" t="str">
        <f t="shared" ca="1" si="0"/>
        <v/>
      </c>
      <c r="F13" s="13" t="str">
        <f t="shared" ca="1" si="1"/>
        <v/>
      </c>
      <c r="G13" s="14" t="s">
        <v>52</v>
      </c>
      <c r="H13" s="15"/>
    </row>
    <row r="14" spans="2:10" x14ac:dyDescent="0.25">
      <c r="B14" s="9"/>
      <c r="C14" s="10"/>
      <c r="D14" s="11"/>
      <c r="E14" s="12" t="str">
        <f t="shared" ca="1" si="0"/>
        <v/>
      </c>
      <c r="F14" s="13" t="str">
        <f t="shared" ca="1" si="1"/>
        <v/>
      </c>
      <c r="G14" s="14" t="s">
        <v>52</v>
      </c>
      <c r="H14" s="15"/>
    </row>
    <row r="15" spans="2:10" x14ac:dyDescent="0.25">
      <c r="B15" s="9"/>
      <c r="C15" s="10"/>
      <c r="D15" s="11"/>
      <c r="E15" s="12" t="str">
        <f t="shared" ca="1" si="0"/>
        <v/>
      </c>
      <c r="F15" s="13" t="str">
        <f t="shared" ca="1" si="1"/>
        <v/>
      </c>
      <c r="G15" s="14" t="s">
        <v>52</v>
      </c>
      <c r="H15" s="15"/>
    </row>
    <row r="16" spans="2:10" x14ac:dyDescent="0.25">
      <c r="B16" s="9"/>
      <c r="C16" s="10"/>
      <c r="D16" s="11"/>
      <c r="E16" s="12" t="str">
        <f t="shared" ca="1" si="0"/>
        <v/>
      </c>
      <c r="F16" s="13" t="str">
        <f t="shared" ca="1" si="1"/>
        <v/>
      </c>
      <c r="G16" s="14" t="s">
        <v>52</v>
      </c>
      <c r="H16" s="15"/>
    </row>
    <row r="17" spans="2:8" x14ac:dyDescent="0.25">
      <c r="B17" s="9"/>
      <c r="C17" s="10"/>
      <c r="D17" s="11"/>
      <c r="E17" s="12" t="str">
        <f t="shared" ca="1" si="0"/>
        <v/>
      </c>
      <c r="F17" s="13" t="str">
        <f t="shared" ref="F17:F80" ca="1" si="2">IF(D17="","",IF(G17="Sim","Fatura Paga",IF(D17-TODAY()&gt;30,"Prazo - Mais de 1 Mês",IF(D17=TODAY(),"Hoje",IF(D17&lt;TODAY(),"Venceu",IF(D17-TODAY()&lt;10,"Prazo - Menos de 10 dias",IF(D17-TODAY()&lt;15,"Prazo - Menos de 15 dias","Prazo - Menos de 1 Mês")))))))</f>
        <v/>
      </c>
      <c r="G17" s="14" t="s">
        <v>52</v>
      </c>
      <c r="H17" s="15"/>
    </row>
    <row r="18" spans="2:8" x14ac:dyDescent="0.25">
      <c r="B18" s="9"/>
      <c r="C18" s="10"/>
      <c r="D18" s="11"/>
      <c r="E18" s="12" t="str">
        <f t="shared" ca="1" si="0"/>
        <v/>
      </c>
      <c r="F18" s="13" t="str">
        <f t="shared" ca="1" si="2"/>
        <v/>
      </c>
      <c r="G18" s="14" t="s">
        <v>52</v>
      </c>
      <c r="H18" s="15"/>
    </row>
    <row r="19" spans="2:8" x14ac:dyDescent="0.25">
      <c r="B19" s="9"/>
      <c r="C19" s="10"/>
      <c r="D19" s="11"/>
      <c r="E19" s="12" t="str">
        <f t="shared" ca="1" si="0"/>
        <v/>
      </c>
      <c r="F19" s="13" t="str">
        <f t="shared" ca="1" si="2"/>
        <v/>
      </c>
      <c r="G19" s="14" t="s">
        <v>52</v>
      </c>
      <c r="H19" s="15"/>
    </row>
    <row r="20" spans="2:8" x14ac:dyDescent="0.25">
      <c r="B20" s="9"/>
      <c r="C20" s="10"/>
      <c r="D20" s="11"/>
      <c r="E20" s="12" t="str">
        <f t="shared" ca="1" si="0"/>
        <v/>
      </c>
      <c r="F20" s="13" t="str">
        <f t="shared" ca="1" si="2"/>
        <v/>
      </c>
      <c r="G20" s="14" t="s">
        <v>52</v>
      </c>
      <c r="H20" s="15"/>
    </row>
    <row r="21" spans="2:8" x14ac:dyDescent="0.25">
      <c r="B21" s="9"/>
      <c r="C21" s="10"/>
      <c r="D21" s="11"/>
      <c r="E21" s="12" t="str">
        <f t="shared" ca="1" si="0"/>
        <v/>
      </c>
      <c r="F21" s="13" t="str">
        <f t="shared" ca="1" si="2"/>
        <v/>
      </c>
      <c r="G21" s="14" t="s">
        <v>52</v>
      </c>
      <c r="H21" s="15"/>
    </row>
    <row r="22" spans="2:8" x14ac:dyDescent="0.25">
      <c r="B22" s="9"/>
      <c r="C22" s="10"/>
      <c r="D22" s="11"/>
      <c r="E22" s="12" t="str">
        <f t="shared" ca="1" si="0"/>
        <v/>
      </c>
      <c r="F22" s="13" t="str">
        <f t="shared" ca="1" si="2"/>
        <v/>
      </c>
      <c r="G22" s="14" t="s">
        <v>52</v>
      </c>
      <c r="H22" s="15"/>
    </row>
    <row r="23" spans="2:8" x14ac:dyDescent="0.25">
      <c r="B23" s="9"/>
      <c r="C23" s="10"/>
      <c r="D23" s="11"/>
      <c r="E23" s="12" t="str">
        <f t="shared" ca="1" si="0"/>
        <v/>
      </c>
      <c r="F23" s="13" t="str">
        <f t="shared" ca="1" si="2"/>
        <v/>
      </c>
      <c r="G23" s="14" t="s">
        <v>52</v>
      </c>
      <c r="H23" s="15"/>
    </row>
    <row r="24" spans="2:8" x14ac:dyDescent="0.25">
      <c r="B24" s="9"/>
      <c r="C24" s="10"/>
      <c r="D24" s="11"/>
      <c r="E24" s="12" t="str">
        <f t="shared" ca="1" si="0"/>
        <v/>
      </c>
      <c r="F24" s="13" t="str">
        <f t="shared" ca="1" si="2"/>
        <v/>
      </c>
      <c r="G24" s="14" t="s">
        <v>52</v>
      </c>
      <c r="H24" s="15"/>
    </row>
    <row r="25" spans="2:8" x14ac:dyDescent="0.25">
      <c r="B25" s="9"/>
      <c r="C25" s="10"/>
      <c r="D25" s="11"/>
      <c r="E25" s="12" t="str">
        <f t="shared" ca="1" si="0"/>
        <v/>
      </c>
      <c r="F25" s="13" t="str">
        <f t="shared" ca="1" si="2"/>
        <v/>
      </c>
      <c r="G25" s="14" t="s">
        <v>52</v>
      </c>
      <c r="H25" s="15"/>
    </row>
    <row r="26" spans="2:8" x14ac:dyDescent="0.25">
      <c r="B26" s="9"/>
      <c r="C26" s="10"/>
      <c r="D26" s="11"/>
      <c r="E26" s="12" t="str">
        <f t="shared" ca="1" si="0"/>
        <v/>
      </c>
      <c r="F26" s="13" t="str">
        <f t="shared" ca="1" si="2"/>
        <v/>
      </c>
      <c r="G26" s="14" t="s">
        <v>52</v>
      </c>
      <c r="H26" s="15"/>
    </row>
    <row r="27" spans="2:8" x14ac:dyDescent="0.25">
      <c r="B27" s="9"/>
      <c r="C27" s="10"/>
      <c r="D27" s="11"/>
      <c r="E27" s="12" t="str">
        <f t="shared" ca="1" si="0"/>
        <v/>
      </c>
      <c r="F27" s="13" t="str">
        <f t="shared" ca="1" si="2"/>
        <v/>
      </c>
      <c r="G27" s="14" t="s">
        <v>52</v>
      </c>
      <c r="H27" s="15"/>
    </row>
    <row r="28" spans="2:8" x14ac:dyDescent="0.25">
      <c r="B28" s="16"/>
      <c r="C28" s="10"/>
      <c r="D28" s="11"/>
      <c r="E28" s="12" t="str">
        <f t="shared" ca="1" si="0"/>
        <v/>
      </c>
      <c r="F28" s="13" t="str">
        <f t="shared" ca="1" si="2"/>
        <v/>
      </c>
      <c r="G28" s="14" t="s">
        <v>52</v>
      </c>
      <c r="H28" s="15"/>
    </row>
    <row r="29" spans="2:8" x14ac:dyDescent="0.25">
      <c r="B29" s="16"/>
      <c r="C29" s="10"/>
      <c r="D29" s="11"/>
      <c r="E29" s="12" t="str">
        <f t="shared" ca="1" si="0"/>
        <v/>
      </c>
      <c r="F29" s="13" t="str">
        <f t="shared" ca="1" si="2"/>
        <v/>
      </c>
      <c r="G29" s="14" t="s">
        <v>52</v>
      </c>
      <c r="H29" s="15"/>
    </row>
    <row r="30" spans="2:8" x14ac:dyDescent="0.25">
      <c r="B30" s="16"/>
      <c r="C30" s="10"/>
      <c r="D30" s="11"/>
      <c r="E30" s="12" t="str">
        <f t="shared" ca="1" si="0"/>
        <v/>
      </c>
      <c r="F30" s="13" t="str">
        <f t="shared" ca="1" si="2"/>
        <v/>
      </c>
      <c r="G30" s="14" t="s">
        <v>52</v>
      </c>
      <c r="H30" s="15"/>
    </row>
    <row r="31" spans="2:8" x14ac:dyDescent="0.25">
      <c r="B31" s="16"/>
      <c r="C31" s="10"/>
      <c r="D31" s="11"/>
      <c r="E31" s="12" t="str">
        <f t="shared" ca="1" si="0"/>
        <v/>
      </c>
      <c r="F31" s="13" t="str">
        <f t="shared" ca="1" si="2"/>
        <v/>
      </c>
      <c r="G31" s="14" t="s">
        <v>52</v>
      </c>
      <c r="H31" s="15"/>
    </row>
    <row r="32" spans="2:8" x14ac:dyDescent="0.25">
      <c r="B32" s="16"/>
      <c r="C32" s="10"/>
      <c r="D32" s="11"/>
      <c r="E32" s="12" t="str">
        <f t="shared" ca="1" si="0"/>
        <v/>
      </c>
      <c r="F32" s="13" t="str">
        <f t="shared" ca="1" si="2"/>
        <v/>
      </c>
      <c r="G32" s="14" t="s">
        <v>52</v>
      </c>
      <c r="H32" s="15"/>
    </row>
    <row r="33" spans="2:8" x14ac:dyDescent="0.25">
      <c r="B33" s="16"/>
      <c r="C33" s="10"/>
      <c r="D33" s="11"/>
      <c r="E33" s="12" t="str">
        <f t="shared" ca="1" si="0"/>
        <v/>
      </c>
      <c r="F33" s="13" t="str">
        <f t="shared" ca="1" si="2"/>
        <v/>
      </c>
      <c r="G33" s="14" t="s">
        <v>52</v>
      </c>
      <c r="H33" s="15"/>
    </row>
    <row r="34" spans="2:8" x14ac:dyDescent="0.25">
      <c r="B34" s="16"/>
      <c r="C34" s="10"/>
      <c r="D34" s="11"/>
      <c r="E34" s="12" t="str">
        <f t="shared" ca="1" si="0"/>
        <v/>
      </c>
      <c r="F34" s="13" t="str">
        <f t="shared" ca="1" si="2"/>
        <v/>
      </c>
      <c r="G34" s="14" t="s">
        <v>52</v>
      </c>
      <c r="H34" s="15"/>
    </row>
    <row r="35" spans="2:8" x14ac:dyDescent="0.25">
      <c r="B35" s="16"/>
      <c r="C35" s="10"/>
      <c r="D35" s="11"/>
      <c r="E35" s="12" t="str">
        <f t="shared" ca="1" si="0"/>
        <v/>
      </c>
      <c r="F35" s="13" t="str">
        <f t="shared" ca="1" si="2"/>
        <v/>
      </c>
      <c r="G35" s="14" t="s">
        <v>52</v>
      </c>
      <c r="H35" s="15"/>
    </row>
    <row r="36" spans="2:8" x14ac:dyDescent="0.25">
      <c r="B36" s="16"/>
      <c r="C36" s="10"/>
      <c r="D36" s="11"/>
      <c r="E36" s="12" t="str">
        <f t="shared" ca="1" si="0"/>
        <v/>
      </c>
      <c r="F36" s="13" t="str">
        <f t="shared" ca="1" si="2"/>
        <v/>
      </c>
      <c r="G36" s="14" t="s">
        <v>52</v>
      </c>
      <c r="H36" s="15"/>
    </row>
    <row r="37" spans="2:8" x14ac:dyDescent="0.25">
      <c r="B37" s="16"/>
      <c r="C37" s="10"/>
      <c r="D37" s="11"/>
      <c r="E37" s="12" t="str">
        <f t="shared" ca="1" si="0"/>
        <v/>
      </c>
      <c r="F37" s="13" t="str">
        <f t="shared" ca="1" si="2"/>
        <v/>
      </c>
      <c r="G37" s="14" t="s">
        <v>52</v>
      </c>
      <c r="H37" s="15"/>
    </row>
    <row r="38" spans="2:8" x14ac:dyDescent="0.25">
      <c r="B38" s="16"/>
      <c r="C38" s="10"/>
      <c r="D38" s="11"/>
      <c r="E38" s="12" t="str">
        <f t="shared" ca="1" si="0"/>
        <v/>
      </c>
      <c r="F38" s="13" t="str">
        <f t="shared" ca="1" si="2"/>
        <v/>
      </c>
      <c r="G38" s="14" t="s">
        <v>52</v>
      </c>
      <c r="H38" s="15"/>
    </row>
    <row r="39" spans="2:8" x14ac:dyDescent="0.25">
      <c r="B39" s="16"/>
      <c r="C39" s="10"/>
      <c r="D39" s="11"/>
      <c r="E39" s="12" t="str">
        <f t="shared" ca="1" si="0"/>
        <v/>
      </c>
      <c r="F39" s="13" t="str">
        <f t="shared" ca="1" si="2"/>
        <v/>
      </c>
      <c r="G39" s="14" t="s">
        <v>52</v>
      </c>
      <c r="H39" s="15"/>
    </row>
    <row r="40" spans="2:8" x14ac:dyDescent="0.25">
      <c r="B40" s="16"/>
      <c r="C40" s="10"/>
      <c r="D40" s="11"/>
      <c r="E40" s="12" t="str">
        <f t="shared" ca="1" si="0"/>
        <v/>
      </c>
      <c r="F40" s="13" t="str">
        <f t="shared" ca="1" si="2"/>
        <v/>
      </c>
      <c r="G40" s="14" t="s">
        <v>52</v>
      </c>
      <c r="H40" s="15"/>
    </row>
    <row r="41" spans="2:8" x14ac:dyDescent="0.25">
      <c r="B41" s="16"/>
      <c r="C41" s="10"/>
      <c r="D41" s="11"/>
      <c r="E41" s="12" t="str">
        <f t="shared" ca="1" si="0"/>
        <v/>
      </c>
      <c r="F41" s="13" t="str">
        <f t="shared" ca="1" si="2"/>
        <v/>
      </c>
      <c r="G41" s="14" t="s">
        <v>52</v>
      </c>
      <c r="H41" s="15"/>
    </row>
    <row r="42" spans="2:8" x14ac:dyDescent="0.25">
      <c r="B42" s="16"/>
      <c r="C42" s="10"/>
      <c r="D42" s="11"/>
      <c r="E42" s="12" t="str">
        <f t="shared" ca="1" si="0"/>
        <v/>
      </c>
      <c r="F42" s="13" t="str">
        <f t="shared" ca="1" si="2"/>
        <v/>
      </c>
      <c r="G42" s="14" t="s">
        <v>52</v>
      </c>
      <c r="H42" s="15"/>
    </row>
    <row r="43" spans="2:8" x14ac:dyDescent="0.25">
      <c r="B43" s="16"/>
      <c r="C43" s="10"/>
      <c r="D43" s="11"/>
      <c r="E43" s="12" t="str">
        <f t="shared" ca="1" si="0"/>
        <v/>
      </c>
      <c r="F43" s="13" t="str">
        <f t="shared" ca="1" si="2"/>
        <v/>
      </c>
      <c r="G43" s="14" t="s">
        <v>52</v>
      </c>
      <c r="H43" s="15"/>
    </row>
    <row r="44" spans="2:8" x14ac:dyDescent="0.25">
      <c r="B44" s="16"/>
      <c r="C44" s="10"/>
      <c r="D44" s="11"/>
      <c r="E44" s="12" t="str">
        <f t="shared" ca="1" si="0"/>
        <v/>
      </c>
      <c r="F44" s="13" t="str">
        <f t="shared" ca="1" si="2"/>
        <v/>
      </c>
      <c r="G44" s="14" t="s">
        <v>52</v>
      </c>
      <c r="H44" s="15"/>
    </row>
    <row r="45" spans="2:8" x14ac:dyDescent="0.25">
      <c r="B45" s="16"/>
      <c r="C45" s="10"/>
      <c r="D45" s="11"/>
      <c r="E45" s="12" t="str">
        <f t="shared" ca="1" si="0"/>
        <v/>
      </c>
      <c r="F45" s="13" t="str">
        <f t="shared" ca="1" si="2"/>
        <v/>
      </c>
      <c r="G45" s="14" t="s">
        <v>52</v>
      </c>
      <c r="H45" s="15"/>
    </row>
    <row r="46" spans="2:8" x14ac:dyDescent="0.25">
      <c r="B46" s="16"/>
      <c r="C46" s="10"/>
      <c r="D46" s="11"/>
      <c r="E46" s="12" t="str">
        <f t="shared" ca="1" si="0"/>
        <v/>
      </c>
      <c r="F46" s="13" t="str">
        <f t="shared" ca="1" si="2"/>
        <v/>
      </c>
      <c r="G46" s="14" t="s">
        <v>52</v>
      </c>
      <c r="H46" s="15"/>
    </row>
    <row r="47" spans="2:8" x14ac:dyDescent="0.25">
      <c r="B47" s="16"/>
      <c r="C47" s="10"/>
      <c r="D47" s="11"/>
      <c r="E47" s="12" t="str">
        <f t="shared" ca="1" si="0"/>
        <v/>
      </c>
      <c r="F47" s="13" t="str">
        <f t="shared" ca="1" si="2"/>
        <v/>
      </c>
      <c r="G47" s="14" t="s">
        <v>52</v>
      </c>
      <c r="H47" s="15"/>
    </row>
    <row r="48" spans="2:8" x14ac:dyDescent="0.25">
      <c r="B48" s="16"/>
      <c r="C48" s="10"/>
      <c r="D48" s="11"/>
      <c r="E48" s="12" t="str">
        <f t="shared" ca="1" si="0"/>
        <v/>
      </c>
      <c r="F48" s="13" t="str">
        <f t="shared" ca="1" si="2"/>
        <v/>
      </c>
      <c r="G48" s="14" t="s">
        <v>52</v>
      </c>
      <c r="H48" s="15"/>
    </row>
    <row r="49" spans="2:8" x14ac:dyDescent="0.25">
      <c r="B49" s="16"/>
      <c r="C49" s="10"/>
      <c r="D49" s="11"/>
      <c r="E49" s="12" t="str">
        <f t="shared" ca="1" si="0"/>
        <v/>
      </c>
      <c r="F49" s="13" t="str">
        <f t="shared" ca="1" si="2"/>
        <v/>
      </c>
      <c r="G49" s="14" t="s">
        <v>52</v>
      </c>
      <c r="H49" s="15"/>
    </row>
    <row r="50" spans="2:8" x14ac:dyDescent="0.25">
      <c r="B50" s="16"/>
      <c r="C50" s="10"/>
      <c r="D50" s="11"/>
      <c r="E50" s="12" t="str">
        <f t="shared" ca="1" si="0"/>
        <v/>
      </c>
      <c r="F50" s="13" t="str">
        <f t="shared" ca="1" si="2"/>
        <v/>
      </c>
      <c r="G50" s="14" t="s">
        <v>52</v>
      </c>
      <c r="H50" s="15"/>
    </row>
    <row r="51" spans="2:8" s="20" customFormat="1" x14ac:dyDescent="0.25"/>
    <row r="52" spans="2:8" hidden="1" x14ac:dyDescent="0.25">
      <c r="B52" s="16"/>
      <c r="C52" s="10"/>
      <c r="D52" s="11"/>
      <c r="E52" s="12" t="str">
        <f t="shared" ca="1" si="0"/>
        <v/>
      </c>
      <c r="F52" s="13" t="str">
        <f t="shared" ca="1" si="2"/>
        <v/>
      </c>
      <c r="G52" s="14" t="s">
        <v>52</v>
      </c>
      <c r="H52" s="15"/>
    </row>
    <row r="53" spans="2:8" hidden="1" x14ac:dyDescent="0.25">
      <c r="B53" s="16"/>
      <c r="C53" s="10"/>
      <c r="D53" s="11"/>
      <c r="E53" s="12" t="str">
        <f t="shared" ca="1" si="0"/>
        <v/>
      </c>
      <c r="F53" s="13" t="str">
        <f t="shared" ca="1" si="2"/>
        <v/>
      </c>
      <c r="G53" s="14" t="s">
        <v>52</v>
      </c>
      <c r="H53" s="15"/>
    </row>
    <row r="54" spans="2:8" hidden="1" x14ac:dyDescent="0.25">
      <c r="B54" s="16"/>
      <c r="C54" s="10"/>
      <c r="D54" s="11"/>
      <c r="E54" s="12" t="str">
        <f t="shared" ca="1" si="0"/>
        <v/>
      </c>
      <c r="F54" s="13" t="str">
        <f t="shared" ca="1" si="2"/>
        <v/>
      </c>
      <c r="G54" s="14" t="s">
        <v>52</v>
      </c>
      <c r="H54" s="15"/>
    </row>
    <row r="55" spans="2:8" hidden="1" x14ac:dyDescent="0.25">
      <c r="B55" s="16"/>
      <c r="C55" s="10"/>
      <c r="D55" s="11"/>
      <c r="E55" s="12" t="str">
        <f t="shared" ca="1" si="0"/>
        <v/>
      </c>
      <c r="F55" s="13" t="str">
        <f t="shared" ca="1" si="2"/>
        <v/>
      </c>
      <c r="G55" s="14" t="s">
        <v>52</v>
      </c>
      <c r="H55" s="15"/>
    </row>
    <row r="56" spans="2:8" hidden="1" x14ac:dyDescent="0.25">
      <c r="B56" s="16"/>
      <c r="C56" s="10"/>
      <c r="D56" s="11"/>
      <c r="E56" s="12" t="str">
        <f t="shared" ca="1" si="0"/>
        <v/>
      </c>
      <c r="F56" s="13" t="str">
        <f t="shared" ca="1" si="2"/>
        <v/>
      </c>
      <c r="G56" s="14" t="s">
        <v>52</v>
      </c>
      <c r="H56" s="15"/>
    </row>
    <row r="57" spans="2:8" hidden="1" x14ac:dyDescent="0.25">
      <c r="B57" s="16"/>
      <c r="C57" s="10"/>
      <c r="D57" s="11"/>
      <c r="E57" s="12" t="str">
        <f t="shared" ca="1" si="0"/>
        <v/>
      </c>
      <c r="F57" s="13" t="str">
        <f t="shared" ca="1" si="2"/>
        <v/>
      </c>
      <c r="G57" s="14" t="s">
        <v>52</v>
      </c>
      <c r="H57" s="15"/>
    </row>
    <row r="58" spans="2:8" hidden="1" x14ac:dyDescent="0.25">
      <c r="B58" s="16"/>
      <c r="C58" s="10"/>
      <c r="D58" s="11"/>
      <c r="E58" s="12" t="str">
        <f t="shared" ca="1" si="0"/>
        <v/>
      </c>
      <c r="F58" s="13" t="str">
        <f t="shared" ca="1" si="2"/>
        <v/>
      </c>
      <c r="G58" s="14" t="s">
        <v>52</v>
      </c>
      <c r="H58" s="15"/>
    </row>
    <row r="59" spans="2:8" hidden="1" x14ac:dyDescent="0.25">
      <c r="B59" s="16"/>
      <c r="C59" s="10"/>
      <c r="D59" s="11"/>
      <c r="E59" s="12" t="str">
        <f t="shared" ca="1" si="0"/>
        <v/>
      </c>
      <c r="F59" s="13" t="str">
        <f t="shared" ca="1" si="2"/>
        <v/>
      </c>
      <c r="G59" s="14" t="s">
        <v>52</v>
      </c>
      <c r="H59" s="15"/>
    </row>
    <row r="60" spans="2:8" hidden="1" x14ac:dyDescent="0.25">
      <c r="B60" s="16"/>
      <c r="C60" s="10"/>
      <c r="D60" s="11"/>
      <c r="E60" s="12" t="str">
        <f t="shared" ca="1" si="0"/>
        <v/>
      </c>
      <c r="F60" s="13" t="str">
        <f t="shared" ca="1" si="2"/>
        <v/>
      </c>
      <c r="G60" s="14" t="s">
        <v>52</v>
      </c>
      <c r="H60" s="15"/>
    </row>
    <row r="61" spans="2:8" hidden="1" x14ac:dyDescent="0.25">
      <c r="B61" s="16"/>
      <c r="C61" s="10"/>
      <c r="D61" s="11"/>
      <c r="E61" s="12" t="str">
        <f t="shared" ca="1" si="0"/>
        <v/>
      </c>
      <c r="F61" s="13" t="str">
        <f t="shared" ca="1" si="2"/>
        <v/>
      </c>
      <c r="G61" s="14" t="s">
        <v>52</v>
      </c>
      <c r="H61" s="15"/>
    </row>
    <row r="62" spans="2:8" hidden="1" x14ac:dyDescent="0.25">
      <c r="B62" s="16"/>
      <c r="C62" s="10"/>
      <c r="D62" s="11"/>
      <c r="E62" s="12" t="str">
        <f t="shared" ca="1" si="0"/>
        <v/>
      </c>
      <c r="F62" s="13" t="str">
        <f t="shared" ca="1" si="2"/>
        <v/>
      </c>
      <c r="G62" s="14" t="s">
        <v>52</v>
      </c>
      <c r="H62" s="15"/>
    </row>
    <row r="63" spans="2:8" hidden="1" x14ac:dyDescent="0.25">
      <c r="B63" s="16"/>
      <c r="C63" s="10"/>
      <c r="D63" s="11"/>
      <c r="E63" s="12" t="str">
        <f t="shared" ca="1" si="0"/>
        <v/>
      </c>
      <c r="F63" s="13" t="str">
        <f t="shared" ca="1" si="2"/>
        <v/>
      </c>
      <c r="G63" s="14" t="s">
        <v>52</v>
      </c>
      <c r="H63" s="15"/>
    </row>
    <row r="64" spans="2:8" hidden="1" x14ac:dyDescent="0.25">
      <c r="B64" s="16"/>
      <c r="C64" s="10"/>
      <c r="D64" s="11"/>
      <c r="E64" s="12" t="str">
        <f t="shared" ca="1" si="0"/>
        <v/>
      </c>
      <c r="F64" s="13" t="str">
        <f t="shared" ca="1" si="2"/>
        <v/>
      </c>
      <c r="G64" s="14" t="s">
        <v>52</v>
      </c>
      <c r="H64" s="15"/>
    </row>
    <row r="65" spans="2:8" hidden="1" x14ac:dyDescent="0.25">
      <c r="B65" s="16"/>
      <c r="C65" s="10"/>
      <c r="D65" s="11"/>
      <c r="E65" s="12" t="str">
        <f t="shared" ca="1" si="0"/>
        <v/>
      </c>
      <c r="F65" s="13" t="str">
        <f t="shared" ca="1" si="2"/>
        <v/>
      </c>
      <c r="G65" s="14" t="s">
        <v>52</v>
      </c>
      <c r="H65" s="15"/>
    </row>
    <row r="66" spans="2:8" hidden="1" x14ac:dyDescent="0.25">
      <c r="B66" s="16"/>
      <c r="C66" s="10"/>
      <c r="D66" s="11"/>
      <c r="E66" s="12" t="str">
        <f t="shared" ca="1" si="0"/>
        <v/>
      </c>
      <c r="F66" s="13" t="str">
        <f t="shared" ca="1" si="2"/>
        <v/>
      </c>
      <c r="G66" s="14" t="s">
        <v>52</v>
      </c>
      <c r="H66" s="15"/>
    </row>
    <row r="67" spans="2:8" hidden="1" x14ac:dyDescent="0.25">
      <c r="B67" s="16"/>
      <c r="C67" s="10"/>
      <c r="D67" s="11"/>
      <c r="E67" s="12" t="str">
        <f t="shared" ca="1" si="0"/>
        <v/>
      </c>
      <c r="F67" s="13" t="str">
        <f t="shared" ca="1" si="2"/>
        <v/>
      </c>
      <c r="G67" s="14" t="s">
        <v>52</v>
      </c>
      <c r="H67" s="15"/>
    </row>
    <row r="68" spans="2:8" hidden="1" x14ac:dyDescent="0.25">
      <c r="B68" s="16"/>
      <c r="C68" s="10"/>
      <c r="D68" s="11"/>
      <c r="E68" s="12" t="str">
        <f t="shared" ca="1" si="0"/>
        <v/>
      </c>
      <c r="F68" s="13" t="str">
        <f t="shared" ca="1" si="2"/>
        <v/>
      </c>
      <c r="G68" s="14" t="s">
        <v>52</v>
      </c>
      <c r="H68" s="15"/>
    </row>
    <row r="69" spans="2:8" hidden="1" x14ac:dyDescent="0.25">
      <c r="B69" s="16"/>
      <c r="C69" s="10"/>
      <c r="D69" s="11"/>
      <c r="E69" s="12" t="str">
        <f t="shared" ca="1" si="0"/>
        <v/>
      </c>
      <c r="F69" s="13" t="str">
        <f t="shared" ca="1" si="2"/>
        <v/>
      </c>
      <c r="G69" s="14" t="s">
        <v>52</v>
      </c>
      <c r="H69" s="15"/>
    </row>
    <row r="70" spans="2:8" hidden="1" x14ac:dyDescent="0.25">
      <c r="B70" s="16"/>
      <c r="C70" s="10"/>
      <c r="D70" s="11"/>
      <c r="E70" s="12" t="str">
        <f t="shared" ca="1" si="0"/>
        <v/>
      </c>
      <c r="F70" s="13" t="str">
        <f t="shared" ca="1" si="2"/>
        <v/>
      </c>
      <c r="G70" s="14" t="s">
        <v>52</v>
      </c>
      <c r="H70" s="15"/>
    </row>
    <row r="71" spans="2:8" hidden="1" x14ac:dyDescent="0.25">
      <c r="B71" s="16"/>
      <c r="C71" s="10"/>
      <c r="D71" s="11"/>
      <c r="E71" s="12" t="str">
        <f t="shared" ref="E71:E134" ca="1" si="3">IF(B71="","",TODAY())</f>
        <v/>
      </c>
      <c r="F71" s="13" t="str">
        <f t="shared" ca="1" si="2"/>
        <v/>
      </c>
      <c r="G71" s="14" t="s">
        <v>52</v>
      </c>
      <c r="H71" s="15"/>
    </row>
    <row r="72" spans="2:8" hidden="1" x14ac:dyDescent="0.25">
      <c r="B72" s="16"/>
      <c r="C72" s="10"/>
      <c r="D72" s="11"/>
      <c r="E72" s="12" t="str">
        <f t="shared" ca="1" si="3"/>
        <v/>
      </c>
      <c r="F72" s="13" t="str">
        <f t="shared" ca="1" si="2"/>
        <v/>
      </c>
      <c r="G72" s="14" t="s">
        <v>52</v>
      </c>
      <c r="H72" s="15"/>
    </row>
    <row r="73" spans="2:8" hidden="1" x14ac:dyDescent="0.25">
      <c r="B73" s="16"/>
      <c r="C73" s="10"/>
      <c r="D73" s="11"/>
      <c r="E73" s="12" t="str">
        <f t="shared" ca="1" si="3"/>
        <v/>
      </c>
      <c r="F73" s="13" t="str">
        <f t="shared" ca="1" si="2"/>
        <v/>
      </c>
      <c r="G73" s="14" t="s">
        <v>52</v>
      </c>
      <c r="H73" s="15"/>
    </row>
    <row r="74" spans="2:8" hidden="1" x14ac:dyDescent="0.25">
      <c r="B74" s="16"/>
      <c r="C74" s="10"/>
      <c r="D74" s="11"/>
      <c r="E74" s="12" t="str">
        <f t="shared" ca="1" si="3"/>
        <v/>
      </c>
      <c r="F74" s="13" t="str">
        <f t="shared" ca="1" si="2"/>
        <v/>
      </c>
      <c r="G74" s="14" t="s">
        <v>52</v>
      </c>
      <c r="H74" s="15"/>
    </row>
    <row r="75" spans="2:8" hidden="1" x14ac:dyDescent="0.25">
      <c r="B75" s="16"/>
      <c r="C75" s="10"/>
      <c r="D75" s="11"/>
      <c r="E75" s="12" t="str">
        <f t="shared" ca="1" si="3"/>
        <v/>
      </c>
      <c r="F75" s="13" t="str">
        <f t="shared" ca="1" si="2"/>
        <v/>
      </c>
      <c r="G75" s="14" t="s">
        <v>52</v>
      </c>
      <c r="H75" s="15"/>
    </row>
    <row r="76" spans="2:8" hidden="1" x14ac:dyDescent="0.25">
      <c r="B76" s="16"/>
      <c r="C76" s="10"/>
      <c r="D76" s="11"/>
      <c r="E76" s="12" t="str">
        <f t="shared" ca="1" si="3"/>
        <v/>
      </c>
      <c r="F76" s="13" t="str">
        <f t="shared" ca="1" si="2"/>
        <v/>
      </c>
      <c r="G76" s="14" t="s">
        <v>52</v>
      </c>
      <c r="H76" s="15"/>
    </row>
    <row r="77" spans="2:8" hidden="1" x14ac:dyDescent="0.25">
      <c r="B77" s="16"/>
      <c r="C77" s="10"/>
      <c r="D77" s="11"/>
      <c r="E77" s="12" t="str">
        <f t="shared" ca="1" si="3"/>
        <v/>
      </c>
      <c r="F77" s="13" t="str">
        <f t="shared" ca="1" si="2"/>
        <v/>
      </c>
      <c r="G77" s="14" t="s">
        <v>52</v>
      </c>
      <c r="H77" s="15"/>
    </row>
    <row r="78" spans="2:8" hidden="1" x14ac:dyDescent="0.25">
      <c r="B78" s="16"/>
      <c r="C78" s="10"/>
      <c r="D78" s="11"/>
      <c r="E78" s="12" t="str">
        <f t="shared" ca="1" si="3"/>
        <v/>
      </c>
      <c r="F78" s="13" t="str">
        <f t="shared" ca="1" si="2"/>
        <v/>
      </c>
      <c r="G78" s="14" t="s">
        <v>52</v>
      </c>
      <c r="H78" s="15"/>
    </row>
    <row r="79" spans="2:8" hidden="1" x14ac:dyDescent="0.25">
      <c r="B79" s="16"/>
      <c r="C79" s="10"/>
      <c r="D79" s="11"/>
      <c r="E79" s="12" t="str">
        <f t="shared" ca="1" si="3"/>
        <v/>
      </c>
      <c r="F79" s="13" t="str">
        <f t="shared" ca="1" si="2"/>
        <v/>
      </c>
      <c r="G79" s="14" t="s">
        <v>52</v>
      </c>
      <c r="H79" s="15"/>
    </row>
    <row r="80" spans="2:8" hidden="1" x14ac:dyDescent="0.25">
      <c r="B80" s="16"/>
      <c r="C80" s="10"/>
      <c r="D80" s="11"/>
      <c r="E80" s="12" t="str">
        <f t="shared" ca="1" si="3"/>
        <v/>
      </c>
      <c r="F80" s="13" t="str">
        <f t="shared" ca="1" si="2"/>
        <v/>
      </c>
      <c r="G80" s="14" t="s">
        <v>52</v>
      </c>
      <c r="H80" s="15"/>
    </row>
    <row r="81" spans="2:8" hidden="1" x14ac:dyDescent="0.25">
      <c r="B81" s="16"/>
      <c r="C81" s="10"/>
      <c r="D81" s="11"/>
      <c r="E81" s="12" t="str">
        <f t="shared" ca="1" si="3"/>
        <v/>
      </c>
      <c r="F81" s="13" t="str">
        <f t="shared" ref="F81:F144" ca="1" si="4">IF(D81="","",IF(G81="Sim","Fatura Paga",IF(D81-TODAY()&gt;30,"Prazo - Mais de 1 Mês",IF(D81=TODAY(),"Hoje",IF(D81&lt;TODAY(),"Venceu",IF(D81-TODAY()&lt;10,"Prazo - Menos de 10 dias",IF(D81-TODAY()&lt;15,"Prazo - Menos de 15 dias","Prazo - Menos de 1 Mês")))))))</f>
        <v/>
      </c>
      <c r="G81" s="14" t="s">
        <v>52</v>
      </c>
      <c r="H81" s="15"/>
    </row>
    <row r="82" spans="2:8" hidden="1" x14ac:dyDescent="0.25">
      <c r="B82" s="16"/>
      <c r="C82" s="10"/>
      <c r="D82" s="11"/>
      <c r="E82" s="12" t="str">
        <f t="shared" ca="1" si="3"/>
        <v/>
      </c>
      <c r="F82" s="13" t="str">
        <f t="shared" ca="1" si="4"/>
        <v/>
      </c>
      <c r="G82" s="14" t="s">
        <v>52</v>
      </c>
      <c r="H82" s="15"/>
    </row>
    <row r="83" spans="2:8" hidden="1" x14ac:dyDescent="0.25">
      <c r="B83" s="16"/>
      <c r="C83" s="10"/>
      <c r="D83" s="11"/>
      <c r="E83" s="12" t="str">
        <f t="shared" ca="1" si="3"/>
        <v/>
      </c>
      <c r="F83" s="13" t="str">
        <f t="shared" ca="1" si="4"/>
        <v/>
      </c>
      <c r="G83" s="14" t="s">
        <v>52</v>
      </c>
      <c r="H83" s="15"/>
    </row>
    <row r="84" spans="2:8" hidden="1" x14ac:dyDescent="0.25">
      <c r="B84" s="16"/>
      <c r="C84" s="10"/>
      <c r="D84" s="11"/>
      <c r="E84" s="12" t="str">
        <f t="shared" ca="1" si="3"/>
        <v/>
      </c>
      <c r="F84" s="13" t="str">
        <f t="shared" ca="1" si="4"/>
        <v/>
      </c>
      <c r="G84" s="14" t="s">
        <v>52</v>
      </c>
      <c r="H84" s="15"/>
    </row>
    <row r="85" spans="2:8" hidden="1" x14ac:dyDescent="0.25">
      <c r="B85" s="16"/>
      <c r="C85" s="10"/>
      <c r="D85" s="11"/>
      <c r="E85" s="12" t="str">
        <f t="shared" ca="1" si="3"/>
        <v/>
      </c>
      <c r="F85" s="13" t="str">
        <f t="shared" ca="1" si="4"/>
        <v/>
      </c>
      <c r="G85" s="14" t="s">
        <v>52</v>
      </c>
      <c r="H85" s="15"/>
    </row>
    <row r="86" spans="2:8" hidden="1" x14ac:dyDescent="0.25">
      <c r="B86" s="16"/>
      <c r="C86" s="10"/>
      <c r="D86" s="11"/>
      <c r="E86" s="12" t="str">
        <f t="shared" ca="1" si="3"/>
        <v/>
      </c>
      <c r="F86" s="13" t="str">
        <f t="shared" ca="1" si="4"/>
        <v/>
      </c>
      <c r="G86" s="14" t="s">
        <v>52</v>
      </c>
      <c r="H86" s="15"/>
    </row>
    <row r="87" spans="2:8" hidden="1" x14ac:dyDescent="0.25">
      <c r="B87" s="16"/>
      <c r="C87" s="10"/>
      <c r="D87" s="11"/>
      <c r="E87" s="12" t="str">
        <f t="shared" ca="1" si="3"/>
        <v/>
      </c>
      <c r="F87" s="13" t="str">
        <f t="shared" ca="1" si="4"/>
        <v/>
      </c>
      <c r="G87" s="14" t="s">
        <v>52</v>
      </c>
      <c r="H87" s="15"/>
    </row>
    <row r="88" spans="2:8" hidden="1" x14ac:dyDescent="0.25">
      <c r="B88" s="16"/>
      <c r="C88" s="10"/>
      <c r="D88" s="11"/>
      <c r="E88" s="12" t="str">
        <f t="shared" ca="1" si="3"/>
        <v/>
      </c>
      <c r="F88" s="13" t="str">
        <f t="shared" ca="1" si="4"/>
        <v/>
      </c>
      <c r="G88" s="14" t="s">
        <v>52</v>
      </c>
      <c r="H88" s="15"/>
    </row>
    <row r="89" spans="2:8" hidden="1" x14ac:dyDescent="0.25">
      <c r="B89" s="16"/>
      <c r="C89" s="10"/>
      <c r="D89" s="11"/>
      <c r="E89" s="12" t="str">
        <f t="shared" ca="1" si="3"/>
        <v/>
      </c>
      <c r="F89" s="13" t="str">
        <f t="shared" ca="1" si="4"/>
        <v/>
      </c>
      <c r="G89" s="14" t="s">
        <v>52</v>
      </c>
      <c r="H89" s="15"/>
    </row>
    <row r="90" spans="2:8" hidden="1" x14ac:dyDescent="0.25">
      <c r="B90" s="16"/>
      <c r="C90" s="10"/>
      <c r="D90" s="11"/>
      <c r="E90" s="12" t="str">
        <f t="shared" ca="1" si="3"/>
        <v/>
      </c>
      <c r="F90" s="13" t="str">
        <f t="shared" ca="1" si="4"/>
        <v/>
      </c>
      <c r="G90" s="14" t="s">
        <v>52</v>
      </c>
      <c r="H90" s="15"/>
    </row>
    <row r="91" spans="2:8" hidden="1" x14ac:dyDescent="0.25">
      <c r="B91" s="16"/>
      <c r="C91" s="10"/>
      <c r="D91" s="11"/>
      <c r="E91" s="12" t="str">
        <f t="shared" ca="1" si="3"/>
        <v/>
      </c>
      <c r="F91" s="13" t="str">
        <f t="shared" ca="1" si="4"/>
        <v/>
      </c>
      <c r="G91" s="14" t="s">
        <v>52</v>
      </c>
      <c r="H91" s="15"/>
    </row>
    <row r="92" spans="2:8" hidden="1" x14ac:dyDescent="0.25">
      <c r="B92" s="16"/>
      <c r="C92" s="10"/>
      <c r="D92" s="11"/>
      <c r="E92" s="12" t="str">
        <f t="shared" ca="1" si="3"/>
        <v/>
      </c>
      <c r="F92" s="13" t="str">
        <f t="shared" ca="1" si="4"/>
        <v/>
      </c>
      <c r="G92" s="14" t="s">
        <v>52</v>
      </c>
      <c r="H92" s="15"/>
    </row>
    <row r="93" spans="2:8" hidden="1" x14ac:dyDescent="0.25">
      <c r="B93" s="16"/>
      <c r="C93" s="10"/>
      <c r="D93" s="11"/>
      <c r="E93" s="12" t="str">
        <f t="shared" ca="1" si="3"/>
        <v/>
      </c>
      <c r="F93" s="13" t="str">
        <f t="shared" ca="1" si="4"/>
        <v/>
      </c>
      <c r="G93" s="14" t="s">
        <v>52</v>
      </c>
      <c r="H93" s="15"/>
    </row>
    <row r="94" spans="2:8" hidden="1" x14ac:dyDescent="0.25">
      <c r="B94" s="16"/>
      <c r="C94" s="10"/>
      <c r="D94" s="11"/>
      <c r="E94" s="12" t="str">
        <f t="shared" ca="1" si="3"/>
        <v/>
      </c>
      <c r="F94" s="13" t="str">
        <f t="shared" ca="1" si="4"/>
        <v/>
      </c>
      <c r="G94" s="14" t="s">
        <v>52</v>
      </c>
      <c r="H94" s="15"/>
    </row>
    <row r="95" spans="2:8" hidden="1" x14ac:dyDescent="0.25">
      <c r="B95" s="16"/>
      <c r="C95" s="10"/>
      <c r="D95" s="11"/>
      <c r="E95" s="12" t="str">
        <f t="shared" ca="1" si="3"/>
        <v/>
      </c>
      <c r="F95" s="13" t="str">
        <f t="shared" ca="1" si="4"/>
        <v/>
      </c>
      <c r="G95" s="14" t="s">
        <v>52</v>
      </c>
      <c r="H95" s="15"/>
    </row>
    <row r="96" spans="2:8" hidden="1" x14ac:dyDescent="0.25">
      <c r="B96" s="16"/>
      <c r="C96" s="10"/>
      <c r="D96" s="11"/>
      <c r="E96" s="12" t="str">
        <f t="shared" ca="1" si="3"/>
        <v/>
      </c>
      <c r="F96" s="13" t="str">
        <f t="shared" ca="1" si="4"/>
        <v/>
      </c>
      <c r="G96" s="14" t="s">
        <v>52</v>
      </c>
      <c r="H96" s="15"/>
    </row>
    <row r="97" spans="2:8" hidden="1" x14ac:dyDescent="0.25">
      <c r="B97" s="16"/>
      <c r="C97" s="10"/>
      <c r="D97" s="11"/>
      <c r="E97" s="12" t="str">
        <f t="shared" ca="1" si="3"/>
        <v/>
      </c>
      <c r="F97" s="13" t="str">
        <f t="shared" ca="1" si="4"/>
        <v/>
      </c>
      <c r="G97" s="14" t="s">
        <v>52</v>
      </c>
      <c r="H97" s="15"/>
    </row>
    <row r="98" spans="2:8" hidden="1" x14ac:dyDescent="0.25">
      <c r="B98" s="16"/>
      <c r="C98" s="10"/>
      <c r="D98" s="11"/>
      <c r="E98" s="12" t="str">
        <f t="shared" ca="1" si="3"/>
        <v/>
      </c>
      <c r="F98" s="13" t="str">
        <f t="shared" ca="1" si="4"/>
        <v/>
      </c>
      <c r="G98" s="14" t="s">
        <v>52</v>
      </c>
      <c r="H98" s="15"/>
    </row>
    <row r="99" spans="2:8" hidden="1" x14ac:dyDescent="0.25">
      <c r="B99" s="16"/>
      <c r="C99" s="10"/>
      <c r="D99" s="11"/>
      <c r="E99" s="12" t="str">
        <f t="shared" ca="1" si="3"/>
        <v/>
      </c>
      <c r="F99" s="13" t="str">
        <f t="shared" ca="1" si="4"/>
        <v/>
      </c>
      <c r="G99" s="14" t="s">
        <v>52</v>
      </c>
      <c r="H99" s="15"/>
    </row>
    <row r="100" spans="2:8" hidden="1" x14ac:dyDescent="0.25">
      <c r="B100" s="16"/>
      <c r="C100" s="10"/>
      <c r="D100" s="11"/>
      <c r="E100" s="12" t="str">
        <f t="shared" ca="1" si="3"/>
        <v/>
      </c>
      <c r="F100" s="13" t="str">
        <f t="shared" ca="1" si="4"/>
        <v/>
      </c>
      <c r="G100" s="14" t="s">
        <v>52</v>
      </c>
      <c r="H100" s="15"/>
    </row>
    <row r="101" spans="2:8" hidden="1" x14ac:dyDescent="0.25">
      <c r="B101" s="16"/>
      <c r="C101" s="10"/>
      <c r="D101" s="11"/>
      <c r="E101" s="12" t="str">
        <f t="shared" ca="1" si="3"/>
        <v/>
      </c>
      <c r="F101" s="13" t="str">
        <f t="shared" ca="1" si="4"/>
        <v/>
      </c>
      <c r="G101" s="14" t="s">
        <v>52</v>
      </c>
      <c r="H101" s="15"/>
    </row>
    <row r="102" spans="2:8" hidden="1" x14ac:dyDescent="0.25">
      <c r="B102" s="16"/>
      <c r="C102" s="10"/>
      <c r="D102" s="11"/>
      <c r="E102" s="12" t="str">
        <f t="shared" ca="1" si="3"/>
        <v/>
      </c>
      <c r="F102" s="13" t="str">
        <f t="shared" ca="1" si="4"/>
        <v/>
      </c>
      <c r="G102" s="14" t="s">
        <v>52</v>
      </c>
      <c r="H102" s="15"/>
    </row>
    <row r="103" spans="2:8" hidden="1" x14ac:dyDescent="0.25">
      <c r="B103" s="16"/>
      <c r="C103" s="10"/>
      <c r="D103" s="11"/>
      <c r="E103" s="12" t="str">
        <f t="shared" ca="1" si="3"/>
        <v/>
      </c>
      <c r="F103" s="13" t="str">
        <f t="shared" ca="1" si="4"/>
        <v/>
      </c>
      <c r="G103" s="14" t="s">
        <v>52</v>
      </c>
      <c r="H103" s="15"/>
    </row>
    <row r="104" spans="2:8" hidden="1" x14ac:dyDescent="0.25">
      <c r="B104" s="16"/>
      <c r="C104" s="10"/>
      <c r="D104" s="11"/>
      <c r="E104" s="12" t="str">
        <f t="shared" ca="1" si="3"/>
        <v/>
      </c>
      <c r="F104" s="13" t="str">
        <f t="shared" ca="1" si="4"/>
        <v/>
      </c>
      <c r="G104" s="14" t="s">
        <v>52</v>
      </c>
      <c r="H104" s="15"/>
    </row>
    <row r="105" spans="2:8" hidden="1" x14ac:dyDescent="0.25">
      <c r="B105" s="16"/>
      <c r="C105" s="10"/>
      <c r="D105" s="11"/>
      <c r="E105" s="12" t="str">
        <f t="shared" ca="1" si="3"/>
        <v/>
      </c>
      <c r="F105" s="13" t="str">
        <f t="shared" ca="1" si="4"/>
        <v/>
      </c>
      <c r="G105" s="14" t="s">
        <v>52</v>
      </c>
      <c r="H105" s="15"/>
    </row>
    <row r="106" spans="2:8" hidden="1" x14ac:dyDescent="0.25">
      <c r="B106" s="16"/>
      <c r="C106" s="10"/>
      <c r="D106" s="11"/>
      <c r="E106" s="12" t="str">
        <f t="shared" ca="1" si="3"/>
        <v/>
      </c>
      <c r="F106" s="13" t="str">
        <f t="shared" ca="1" si="4"/>
        <v/>
      </c>
      <c r="G106" s="14" t="s">
        <v>52</v>
      </c>
      <c r="H106" s="15"/>
    </row>
    <row r="107" spans="2:8" hidden="1" x14ac:dyDescent="0.25">
      <c r="B107" s="16"/>
      <c r="C107" s="10"/>
      <c r="D107" s="11"/>
      <c r="E107" s="12" t="str">
        <f t="shared" ca="1" si="3"/>
        <v/>
      </c>
      <c r="F107" s="13" t="str">
        <f t="shared" ca="1" si="4"/>
        <v/>
      </c>
      <c r="G107" s="14" t="s">
        <v>52</v>
      </c>
      <c r="H107" s="15"/>
    </row>
    <row r="108" spans="2:8" hidden="1" x14ac:dyDescent="0.25">
      <c r="B108" s="16"/>
      <c r="C108" s="10"/>
      <c r="D108" s="11"/>
      <c r="E108" s="12" t="str">
        <f t="shared" ca="1" si="3"/>
        <v/>
      </c>
      <c r="F108" s="13" t="str">
        <f t="shared" ca="1" si="4"/>
        <v/>
      </c>
      <c r="G108" s="14" t="s">
        <v>52</v>
      </c>
      <c r="H108" s="15"/>
    </row>
    <row r="109" spans="2:8" hidden="1" x14ac:dyDescent="0.25">
      <c r="B109" s="16"/>
      <c r="C109" s="10"/>
      <c r="D109" s="11"/>
      <c r="E109" s="12" t="str">
        <f t="shared" ca="1" si="3"/>
        <v/>
      </c>
      <c r="F109" s="13" t="str">
        <f t="shared" ca="1" si="4"/>
        <v/>
      </c>
      <c r="G109" s="14" t="s">
        <v>52</v>
      </c>
      <c r="H109" s="15"/>
    </row>
    <row r="110" spans="2:8" hidden="1" x14ac:dyDescent="0.25">
      <c r="B110" s="16"/>
      <c r="C110" s="10"/>
      <c r="D110" s="11"/>
      <c r="E110" s="12" t="str">
        <f t="shared" ca="1" si="3"/>
        <v/>
      </c>
      <c r="F110" s="13" t="str">
        <f t="shared" ca="1" si="4"/>
        <v/>
      </c>
      <c r="G110" s="14" t="s">
        <v>52</v>
      </c>
      <c r="H110" s="15"/>
    </row>
    <row r="111" spans="2:8" hidden="1" x14ac:dyDescent="0.25">
      <c r="B111" s="16"/>
      <c r="C111" s="10"/>
      <c r="D111" s="11"/>
      <c r="E111" s="12" t="str">
        <f t="shared" ca="1" si="3"/>
        <v/>
      </c>
      <c r="F111" s="13" t="str">
        <f t="shared" ca="1" si="4"/>
        <v/>
      </c>
      <c r="G111" s="14" t="s">
        <v>52</v>
      </c>
      <c r="H111" s="15"/>
    </row>
    <row r="112" spans="2:8" hidden="1" x14ac:dyDescent="0.25">
      <c r="B112" s="16"/>
      <c r="C112" s="10"/>
      <c r="D112" s="11"/>
      <c r="E112" s="12" t="str">
        <f t="shared" ca="1" si="3"/>
        <v/>
      </c>
      <c r="F112" s="13" t="str">
        <f t="shared" ca="1" si="4"/>
        <v/>
      </c>
      <c r="G112" s="14" t="s">
        <v>52</v>
      </c>
      <c r="H112" s="15"/>
    </row>
    <row r="113" spans="2:8" hidden="1" x14ac:dyDescent="0.25">
      <c r="B113" s="16"/>
      <c r="C113" s="10"/>
      <c r="D113" s="11"/>
      <c r="E113" s="12" t="str">
        <f t="shared" ca="1" si="3"/>
        <v/>
      </c>
      <c r="F113" s="13" t="str">
        <f t="shared" ca="1" si="4"/>
        <v/>
      </c>
      <c r="G113" s="14" t="s">
        <v>52</v>
      </c>
      <c r="H113" s="15"/>
    </row>
    <row r="114" spans="2:8" hidden="1" x14ac:dyDescent="0.25">
      <c r="B114" s="16"/>
      <c r="C114" s="10"/>
      <c r="D114" s="11"/>
      <c r="E114" s="12" t="str">
        <f t="shared" ca="1" si="3"/>
        <v/>
      </c>
      <c r="F114" s="13" t="str">
        <f t="shared" ca="1" si="4"/>
        <v/>
      </c>
      <c r="G114" s="14" t="s">
        <v>52</v>
      </c>
      <c r="H114" s="15"/>
    </row>
    <row r="115" spans="2:8" hidden="1" x14ac:dyDescent="0.25">
      <c r="B115" s="16"/>
      <c r="C115" s="10"/>
      <c r="D115" s="11"/>
      <c r="E115" s="12" t="str">
        <f t="shared" ca="1" si="3"/>
        <v/>
      </c>
      <c r="F115" s="13" t="str">
        <f t="shared" ca="1" si="4"/>
        <v/>
      </c>
      <c r="G115" s="14" t="s">
        <v>52</v>
      </c>
      <c r="H115" s="15"/>
    </row>
    <row r="116" spans="2:8" hidden="1" x14ac:dyDescent="0.25">
      <c r="B116" s="16"/>
      <c r="C116" s="10"/>
      <c r="D116" s="11"/>
      <c r="E116" s="12" t="str">
        <f t="shared" ca="1" si="3"/>
        <v/>
      </c>
      <c r="F116" s="13" t="str">
        <f t="shared" ca="1" si="4"/>
        <v/>
      </c>
      <c r="G116" s="14" t="s">
        <v>52</v>
      </c>
      <c r="H116" s="15"/>
    </row>
    <row r="117" spans="2:8" hidden="1" x14ac:dyDescent="0.25">
      <c r="B117" s="16"/>
      <c r="C117" s="10"/>
      <c r="D117" s="11"/>
      <c r="E117" s="12" t="str">
        <f t="shared" ca="1" si="3"/>
        <v/>
      </c>
      <c r="F117" s="13" t="str">
        <f t="shared" ca="1" si="4"/>
        <v/>
      </c>
      <c r="G117" s="14" t="s">
        <v>52</v>
      </c>
      <c r="H117" s="15"/>
    </row>
    <row r="118" spans="2:8" hidden="1" x14ac:dyDescent="0.25">
      <c r="B118" s="16"/>
      <c r="C118" s="10"/>
      <c r="D118" s="11"/>
      <c r="E118" s="12" t="str">
        <f t="shared" ca="1" si="3"/>
        <v/>
      </c>
      <c r="F118" s="13" t="str">
        <f t="shared" ca="1" si="4"/>
        <v/>
      </c>
      <c r="G118" s="14" t="s">
        <v>52</v>
      </c>
      <c r="H118" s="15"/>
    </row>
    <row r="119" spans="2:8" hidden="1" x14ac:dyDescent="0.25">
      <c r="B119" s="16"/>
      <c r="C119" s="10"/>
      <c r="D119" s="11"/>
      <c r="E119" s="12" t="str">
        <f t="shared" ca="1" si="3"/>
        <v/>
      </c>
      <c r="F119" s="13" t="str">
        <f t="shared" ca="1" si="4"/>
        <v/>
      </c>
      <c r="G119" s="14" t="s">
        <v>52</v>
      </c>
      <c r="H119" s="15"/>
    </row>
    <row r="120" spans="2:8" hidden="1" x14ac:dyDescent="0.25">
      <c r="B120" s="16"/>
      <c r="C120" s="10"/>
      <c r="D120" s="11"/>
      <c r="E120" s="12" t="str">
        <f t="shared" ca="1" si="3"/>
        <v/>
      </c>
      <c r="F120" s="13" t="str">
        <f t="shared" ca="1" si="4"/>
        <v/>
      </c>
      <c r="G120" s="14" t="s">
        <v>52</v>
      </c>
      <c r="H120" s="15"/>
    </row>
    <row r="121" spans="2:8" hidden="1" x14ac:dyDescent="0.25">
      <c r="B121" s="16"/>
      <c r="C121" s="10"/>
      <c r="D121" s="11"/>
      <c r="E121" s="12" t="str">
        <f t="shared" ca="1" si="3"/>
        <v/>
      </c>
      <c r="F121" s="13" t="str">
        <f t="shared" ca="1" si="4"/>
        <v/>
      </c>
      <c r="G121" s="14" t="s">
        <v>52</v>
      </c>
      <c r="H121" s="15"/>
    </row>
    <row r="122" spans="2:8" hidden="1" x14ac:dyDescent="0.25">
      <c r="B122" s="16"/>
      <c r="C122" s="10"/>
      <c r="D122" s="11"/>
      <c r="E122" s="12" t="str">
        <f t="shared" ca="1" si="3"/>
        <v/>
      </c>
      <c r="F122" s="13" t="str">
        <f t="shared" ca="1" si="4"/>
        <v/>
      </c>
      <c r="G122" s="14" t="s">
        <v>52</v>
      </c>
      <c r="H122" s="15"/>
    </row>
    <row r="123" spans="2:8" hidden="1" x14ac:dyDescent="0.25">
      <c r="B123" s="16"/>
      <c r="C123" s="10"/>
      <c r="D123" s="11"/>
      <c r="E123" s="12" t="str">
        <f t="shared" ca="1" si="3"/>
        <v/>
      </c>
      <c r="F123" s="13" t="str">
        <f t="shared" ca="1" si="4"/>
        <v/>
      </c>
      <c r="G123" s="14" t="s">
        <v>52</v>
      </c>
      <c r="H123" s="15"/>
    </row>
    <row r="124" spans="2:8" hidden="1" x14ac:dyDescent="0.25">
      <c r="B124" s="16"/>
      <c r="C124" s="10"/>
      <c r="D124" s="11"/>
      <c r="E124" s="12" t="str">
        <f t="shared" ca="1" si="3"/>
        <v/>
      </c>
      <c r="F124" s="13" t="str">
        <f t="shared" ca="1" si="4"/>
        <v/>
      </c>
      <c r="G124" s="14" t="s">
        <v>52</v>
      </c>
      <c r="H124" s="15"/>
    </row>
    <row r="125" spans="2:8" hidden="1" x14ac:dyDescent="0.25">
      <c r="B125" s="16"/>
      <c r="C125" s="10"/>
      <c r="D125" s="11"/>
      <c r="E125" s="12" t="str">
        <f t="shared" ca="1" si="3"/>
        <v/>
      </c>
      <c r="F125" s="13" t="str">
        <f t="shared" ca="1" si="4"/>
        <v/>
      </c>
      <c r="G125" s="14" t="s">
        <v>52</v>
      </c>
      <c r="H125" s="15"/>
    </row>
    <row r="126" spans="2:8" hidden="1" x14ac:dyDescent="0.25">
      <c r="B126" s="16"/>
      <c r="C126" s="10"/>
      <c r="D126" s="11"/>
      <c r="E126" s="12" t="str">
        <f t="shared" ca="1" si="3"/>
        <v/>
      </c>
      <c r="F126" s="13" t="str">
        <f t="shared" ca="1" si="4"/>
        <v/>
      </c>
      <c r="G126" s="14" t="s">
        <v>52</v>
      </c>
      <c r="H126" s="15"/>
    </row>
    <row r="127" spans="2:8" hidden="1" x14ac:dyDescent="0.25">
      <c r="B127" s="16"/>
      <c r="C127" s="10"/>
      <c r="D127" s="11"/>
      <c r="E127" s="12" t="str">
        <f t="shared" ca="1" si="3"/>
        <v/>
      </c>
      <c r="F127" s="13" t="str">
        <f t="shared" ca="1" si="4"/>
        <v/>
      </c>
      <c r="G127" s="14" t="s">
        <v>52</v>
      </c>
      <c r="H127" s="15"/>
    </row>
    <row r="128" spans="2:8" hidden="1" x14ac:dyDescent="0.25">
      <c r="B128" s="16"/>
      <c r="C128" s="10"/>
      <c r="D128" s="11"/>
      <c r="E128" s="12" t="str">
        <f t="shared" ca="1" si="3"/>
        <v/>
      </c>
      <c r="F128" s="13" t="str">
        <f t="shared" ca="1" si="4"/>
        <v/>
      </c>
      <c r="G128" s="14" t="s">
        <v>52</v>
      </c>
      <c r="H128" s="15"/>
    </row>
    <row r="129" spans="2:8" hidden="1" x14ac:dyDescent="0.25">
      <c r="B129" s="16"/>
      <c r="C129" s="10"/>
      <c r="D129" s="11"/>
      <c r="E129" s="12" t="str">
        <f t="shared" ca="1" si="3"/>
        <v/>
      </c>
      <c r="F129" s="13" t="str">
        <f t="shared" ca="1" si="4"/>
        <v/>
      </c>
      <c r="G129" s="14" t="s">
        <v>52</v>
      </c>
      <c r="H129" s="15"/>
    </row>
    <row r="130" spans="2:8" hidden="1" x14ac:dyDescent="0.25">
      <c r="B130" s="16"/>
      <c r="C130" s="10"/>
      <c r="D130" s="11"/>
      <c r="E130" s="12" t="str">
        <f t="shared" ca="1" si="3"/>
        <v/>
      </c>
      <c r="F130" s="13" t="str">
        <f t="shared" ca="1" si="4"/>
        <v/>
      </c>
      <c r="G130" s="14" t="s">
        <v>52</v>
      </c>
      <c r="H130" s="15"/>
    </row>
    <row r="131" spans="2:8" hidden="1" x14ac:dyDescent="0.25">
      <c r="B131" s="16"/>
      <c r="C131" s="10"/>
      <c r="D131" s="11"/>
      <c r="E131" s="12" t="str">
        <f t="shared" ca="1" si="3"/>
        <v/>
      </c>
      <c r="F131" s="13" t="str">
        <f t="shared" ca="1" si="4"/>
        <v/>
      </c>
      <c r="G131" s="14" t="s">
        <v>52</v>
      </c>
      <c r="H131" s="15"/>
    </row>
    <row r="132" spans="2:8" hidden="1" x14ac:dyDescent="0.25">
      <c r="B132" s="16"/>
      <c r="C132" s="10"/>
      <c r="D132" s="11"/>
      <c r="E132" s="12" t="str">
        <f t="shared" ca="1" si="3"/>
        <v/>
      </c>
      <c r="F132" s="13" t="str">
        <f t="shared" ca="1" si="4"/>
        <v/>
      </c>
      <c r="G132" s="14" t="s">
        <v>52</v>
      </c>
      <c r="H132" s="15"/>
    </row>
    <row r="133" spans="2:8" hidden="1" x14ac:dyDescent="0.25">
      <c r="B133" s="16"/>
      <c r="C133" s="10"/>
      <c r="D133" s="11"/>
      <c r="E133" s="12" t="str">
        <f t="shared" ca="1" si="3"/>
        <v/>
      </c>
      <c r="F133" s="13" t="str">
        <f t="shared" ca="1" si="4"/>
        <v/>
      </c>
      <c r="G133" s="14" t="s">
        <v>52</v>
      </c>
      <c r="H133" s="15"/>
    </row>
    <row r="134" spans="2:8" hidden="1" x14ac:dyDescent="0.25">
      <c r="B134" s="16"/>
      <c r="C134" s="10"/>
      <c r="D134" s="11"/>
      <c r="E134" s="12" t="str">
        <f t="shared" ca="1" si="3"/>
        <v/>
      </c>
      <c r="F134" s="13" t="str">
        <f t="shared" ca="1" si="4"/>
        <v/>
      </c>
      <c r="G134" s="14" t="s">
        <v>52</v>
      </c>
      <c r="H134" s="15"/>
    </row>
    <row r="135" spans="2:8" hidden="1" x14ac:dyDescent="0.25">
      <c r="B135" s="16"/>
      <c r="C135" s="10"/>
      <c r="D135" s="11"/>
      <c r="E135" s="12" t="str">
        <f t="shared" ref="E135:E150" ca="1" si="5">IF(B135="","",TODAY())</f>
        <v/>
      </c>
      <c r="F135" s="13" t="str">
        <f t="shared" ca="1" si="4"/>
        <v/>
      </c>
      <c r="G135" s="14" t="s">
        <v>52</v>
      </c>
      <c r="H135" s="15"/>
    </row>
    <row r="136" spans="2:8" hidden="1" x14ac:dyDescent="0.25">
      <c r="B136" s="16"/>
      <c r="C136" s="10"/>
      <c r="D136" s="11"/>
      <c r="E136" s="12" t="str">
        <f t="shared" ca="1" si="5"/>
        <v/>
      </c>
      <c r="F136" s="13" t="str">
        <f t="shared" ca="1" si="4"/>
        <v/>
      </c>
      <c r="G136" s="14" t="s">
        <v>52</v>
      </c>
      <c r="H136" s="15"/>
    </row>
    <row r="137" spans="2:8" hidden="1" x14ac:dyDescent="0.25">
      <c r="B137" s="16"/>
      <c r="C137" s="10"/>
      <c r="D137" s="11"/>
      <c r="E137" s="12" t="str">
        <f t="shared" ca="1" si="5"/>
        <v/>
      </c>
      <c r="F137" s="13" t="str">
        <f t="shared" ca="1" si="4"/>
        <v/>
      </c>
      <c r="G137" s="14" t="s">
        <v>52</v>
      </c>
      <c r="H137" s="15"/>
    </row>
    <row r="138" spans="2:8" hidden="1" x14ac:dyDescent="0.25">
      <c r="B138" s="16"/>
      <c r="C138" s="10"/>
      <c r="D138" s="11"/>
      <c r="E138" s="12" t="str">
        <f t="shared" ca="1" si="5"/>
        <v/>
      </c>
      <c r="F138" s="13" t="str">
        <f t="shared" ca="1" si="4"/>
        <v/>
      </c>
      <c r="G138" s="14" t="s">
        <v>52</v>
      </c>
      <c r="H138" s="15"/>
    </row>
    <row r="139" spans="2:8" hidden="1" x14ac:dyDescent="0.25">
      <c r="B139" s="16"/>
      <c r="C139" s="10"/>
      <c r="D139" s="11"/>
      <c r="E139" s="12" t="str">
        <f t="shared" ca="1" si="5"/>
        <v/>
      </c>
      <c r="F139" s="13" t="str">
        <f t="shared" ca="1" si="4"/>
        <v/>
      </c>
      <c r="G139" s="14" t="s">
        <v>52</v>
      </c>
      <c r="H139" s="15"/>
    </row>
    <row r="140" spans="2:8" hidden="1" x14ac:dyDescent="0.25">
      <c r="B140" s="16"/>
      <c r="C140" s="10"/>
      <c r="D140" s="11"/>
      <c r="E140" s="12" t="str">
        <f t="shared" ca="1" si="5"/>
        <v/>
      </c>
      <c r="F140" s="13" t="str">
        <f t="shared" ca="1" si="4"/>
        <v/>
      </c>
      <c r="G140" s="14" t="s">
        <v>52</v>
      </c>
      <c r="H140" s="15"/>
    </row>
    <row r="141" spans="2:8" hidden="1" x14ac:dyDescent="0.25">
      <c r="B141" s="16"/>
      <c r="C141" s="10"/>
      <c r="D141" s="11"/>
      <c r="E141" s="12" t="str">
        <f t="shared" ca="1" si="5"/>
        <v/>
      </c>
      <c r="F141" s="13" t="str">
        <f t="shared" ca="1" si="4"/>
        <v/>
      </c>
      <c r="G141" s="14" t="s">
        <v>52</v>
      </c>
      <c r="H141" s="15"/>
    </row>
    <row r="142" spans="2:8" hidden="1" x14ac:dyDescent="0.25">
      <c r="B142" s="16"/>
      <c r="C142" s="10"/>
      <c r="D142" s="11"/>
      <c r="E142" s="12" t="str">
        <f t="shared" ca="1" si="5"/>
        <v/>
      </c>
      <c r="F142" s="13" t="str">
        <f t="shared" ca="1" si="4"/>
        <v/>
      </c>
      <c r="G142" s="14" t="s">
        <v>52</v>
      </c>
      <c r="H142" s="15"/>
    </row>
    <row r="143" spans="2:8" hidden="1" x14ac:dyDescent="0.25">
      <c r="B143" s="16"/>
      <c r="C143" s="10"/>
      <c r="D143" s="11"/>
      <c r="E143" s="12" t="str">
        <f t="shared" ca="1" si="5"/>
        <v/>
      </c>
      <c r="F143" s="13" t="str">
        <f t="shared" ca="1" si="4"/>
        <v/>
      </c>
      <c r="G143" s="14" t="s">
        <v>52</v>
      </c>
      <c r="H143" s="15"/>
    </row>
    <row r="144" spans="2:8" hidden="1" x14ac:dyDescent="0.25">
      <c r="B144" s="16"/>
      <c r="C144" s="10"/>
      <c r="D144" s="11"/>
      <c r="E144" s="12" t="str">
        <f t="shared" ca="1" si="5"/>
        <v/>
      </c>
      <c r="F144" s="13" t="str">
        <f t="shared" ca="1" si="4"/>
        <v/>
      </c>
      <c r="G144" s="14" t="s">
        <v>52</v>
      </c>
      <c r="H144" s="15"/>
    </row>
    <row r="145" spans="2:8" hidden="1" x14ac:dyDescent="0.25">
      <c r="B145" s="16"/>
      <c r="C145" s="10"/>
      <c r="D145" s="11"/>
      <c r="E145" s="12" t="str">
        <f t="shared" ca="1" si="5"/>
        <v/>
      </c>
      <c r="F145" s="13" t="str">
        <f t="shared" ref="F145:F150" ca="1" si="6">IF(D145="","",IF(G145="Sim","Fatura Paga",IF(D145-TODAY()&gt;30,"Prazo - Mais de 1 Mês",IF(D145=TODAY(),"Hoje",IF(D145&lt;TODAY(),"Venceu",IF(D145-TODAY()&lt;10,"Prazo - Menos de 10 dias",IF(D145-TODAY()&lt;15,"Prazo - Menos de 15 dias","Prazo - Menos de 1 Mês")))))))</f>
        <v/>
      </c>
      <c r="G145" s="14" t="s">
        <v>52</v>
      </c>
      <c r="H145" s="15"/>
    </row>
    <row r="146" spans="2:8" hidden="1" x14ac:dyDescent="0.25">
      <c r="B146" s="16"/>
      <c r="C146" s="10"/>
      <c r="D146" s="11"/>
      <c r="E146" s="12" t="str">
        <f t="shared" ca="1" si="5"/>
        <v/>
      </c>
      <c r="F146" s="13" t="str">
        <f t="shared" ca="1" si="6"/>
        <v/>
      </c>
      <c r="G146" s="14" t="s">
        <v>52</v>
      </c>
      <c r="H146" s="15"/>
    </row>
    <row r="147" spans="2:8" hidden="1" x14ac:dyDescent="0.25">
      <c r="B147" s="16"/>
      <c r="C147" s="10"/>
      <c r="D147" s="11"/>
      <c r="E147" s="12" t="str">
        <f t="shared" ca="1" si="5"/>
        <v/>
      </c>
      <c r="F147" s="13" t="str">
        <f t="shared" ca="1" si="6"/>
        <v/>
      </c>
      <c r="G147" s="14" t="s">
        <v>52</v>
      </c>
      <c r="H147" s="15"/>
    </row>
    <row r="148" spans="2:8" hidden="1" x14ac:dyDescent="0.25">
      <c r="B148" s="16"/>
      <c r="C148" s="10"/>
      <c r="D148" s="11"/>
      <c r="E148" s="12" t="str">
        <f t="shared" ca="1" si="5"/>
        <v/>
      </c>
      <c r="F148" s="13" t="str">
        <f t="shared" ca="1" si="6"/>
        <v/>
      </c>
      <c r="G148" s="14" t="s">
        <v>52</v>
      </c>
      <c r="H148" s="15"/>
    </row>
    <row r="149" spans="2:8" hidden="1" x14ac:dyDescent="0.25">
      <c r="B149" s="16"/>
      <c r="C149" s="10"/>
      <c r="D149" s="11"/>
      <c r="E149" s="12" t="str">
        <f t="shared" ca="1" si="5"/>
        <v/>
      </c>
      <c r="F149" s="13" t="str">
        <f t="shared" ca="1" si="6"/>
        <v/>
      </c>
      <c r="G149" s="14" t="s">
        <v>52</v>
      </c>
      <c r="H149" s="15"/>
    </row>
    <row r="150" spans="2:8" hidden="1" x14ac:dyDescent="0.25">
      <c r="B150" s="16"/>
      <c r="C150" s="10"/>
      <c r="D150" s="11"/>
      <c r="E150" s="12" t="str">
        <f t="shared" ca="1" si="5"/>
        <v/>
      </c>
      <c r="F150" s="13" t="str">
        <f t="shared" ca="1" si="6"/>
        <v/>
      </c>
      <c r="G150" s="14" t="s">
        <v>52</v>
      </c>
      <c r="H150" s="15"/>
    </row>
  </sheetData>
  <sheetProtection algorithmName="SHA-512" hashValue="jrwUNI4/mVC+tq4zvBZWxikPU8xX/yqwDCeBZAhyAoTAKz26Tq/yISmBIL8Mrqnhaft0ud1BIknFT0nVU4ZuaQ==" saltValue="2DqX5FW10dr0S8HIaHReTg==" spinCount="100000" sheet="1" objects="1" scenarios="1" selectLockedCells="1"/>
  <mergeCells count="1">
    <mergeCell ref="B2:H3"/>
  </mergeCells>
  <conditionalFormatting sqref="F6:H150">
    <cfRule type="containsText" dxfId="15" priority="6" operator="containsText" text="Prazo - Mais de 1 Mês">
      <formula>NOT(ISERROR(SEARCH("Prazo - Mais de 1 Mês",F6)))</formula>
    </cfRule>
    <cfRule type="containsText" dxfId="14" priority="7" operator="containsText" text="Prazo - Menos de 1 Mês">
      <formula>NOT(ISERROR(SEARCH("Prazo - Menos de 1 Mês",F6)))</formula>
    </cfRule>
    <cfRule type="containsText" dxfId="13" priority="8" operator="containsText" text="Prazo - Menos de 15 Dias">
      <formula>NOT(ISERROR(SEARCH("Prazo - Menos de 15 Dias",F6)))</formula>
    </cfRule>
    <cfRule type="containsText" dxfId="12" priority="9" operator="containsText" text="Prazo - Menos de 10 Dias">
      <formula>NOT(ISERROR(SEARCH("Prazo - Menos de 10 Dias",F6)))</formula>
    </cfRule>
    <cfRule type="containsText" dxfId="11" priority="10" operator="containsText" text="Prazo - Menos de 1 Mês">
      <formula>NOT(ISERROR(SEARCH("Prazo - Menos de 1 Mês",F6)))</formula>
    </cfRule>
    <cfRule type="containsText" dxfId="10" priority="11" operator="containsText" text="Prazo - Menos de 1 Mês">
      <formula>NOT(ISERROR(SEARCH("Prazo - Menos de 1 Mês",F6)))</formula>
    </cfRule>
    <cfRule type="containsText" dxfId="9" priority="12" operator="containsText" text="Prazo – Mais de 1 Mês">
      <formula>NOT(ISERROR(SEARCH("Prazo – Mais de 1 Mês",F6)))</formula>
    </cfRule>
    <cfRule type="containsText" dxfId="8" priority="13" operator="containsText" text="Venceu">
      <formula>NOT(ISERROR(SEARCH("Venceu",F6)))</formula>
    </cfRule>
  </conditionalFormatting>
  <conditionalFormatting sqref="F6:F150">
    <cfRule type="containsText" dxfId="7" priority="5" operator="containsText" text="Fatura Paga">
      <formula>NOT(ISERROR(SEARCH("Fatura Paga",F6)))</formula>
    </cfRule>
  </conditionalFormatting>
  <conditionalFormatting sqref="F6:F16">
    <cfRule type="containsText" dxfId="6" priority="4" operator="containsText" text="Vence hoje">
      <formula>NOT(ISERROR(SEARCH("Vence hoje",F6)))</formula>
    </cfRule>
  </conditionalFormatting>
  <conditionalFormatting sqref="G6:G150">
    <cfRule type="containsText" dxfId="5" priority="2" operator="containsText" text="Não">
      <formula>NOT(ISERROR(SEARCH("Não",G6)))</formula>
    </cfRule>
    <cfRule type="containsText" dxfId="4" priority="3" operator="containsText" text="Sim">
      <formula>NOT(ISERROR(SEARCH("Sim",G6)))</formula>
    </cfRule>
  </conditionalFormatting>
  <conditionalFormatting sqref="H6:H150">
    <cfRule type="notContainsBlanks" dxfId="3" priority="1">
      <formula>LEN(TRIM(H6))&gt;0</formula>
    </cfRule>
  </conditionalFormatting>
  <dataValidations count="1">
    <dataValidation type="list" allowBlank="1" showInputMessage="1" showErrorMessage="1" sqref="G6:G150">
      <formula1>" -,Sim,Não"</formula1>
    </dataValidation>
  </dataValidations>
  <hyperlinks>
    <hyperlink ref="J2" r:id="rId1"/>
    <hyperlink ref="J3" r:id="rId2"/>
  </hyperlinks>
  <pageMargins left="0.511811024" right="0.511811024" top="0.78740157499999996" bottom="0.78740157499999996" header="0.31496062000000002" footer="0.31496062000000002"/>
  <pageSetup paperSize="9" orientation="portrait" horizontalDpi="200" verticalDpi="200" r:id="rId3"/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J30"/>
  <sheetViews>
    <sheetView showGridLines="0" workbookViewId="0">
      <selection activeCell="B5" sqref="B5"/>
    </sheetView>
  </sheetViews>
  <sheetFormatPr defaultColWidth="0" defaultRowHeight="15" zeroHeight="1" x14ac:dyDescent="0.25"/>
  <cols>
    <col min="1" max="1" width="9.140625" style="20" customWidth="1"/>
    <col min="2" max="2" width="12.28515625" customWidth="1"/>
    <col min="3" max="3" width="14.28515625" bestFit="1" customWidth="1"/>
    <col min="4" max="4" width="17.28515625" style="24" customWidth="1"/>
    <col min="5" max="10" width="9.140625" style="20" customWidth="1"/>
    <col min="11" max="16384" width="9.140625" hidden="1"/>
  </cols>
  <sheetData>
    <row r="1" spans="2:4" s="20" customFormat="1" x14ac:dyDescent="0.25">
      <c r="D1" s="87"/>
    </row>
    <row r="2" spans="2:4" ht="15.75" x14ac:dyDescent="0.25">
      <c r="B2" s="195" t="s">
        <v>75</v>
      </c>
      <c r="C2" s="196"/>
      <c r="D2" s="196"/>
    </row>
    <row r="3" spans="2:4" s="20" customFormat="1" x14ac:dyDescent="0.25">
      <c r="D3" s="87"/>
    </row>
    <row r="4" spans="2:4" x14ac:dyDescent="0.25">
      <c r="B4" t="s">
        <v>76</v>
      </c>
      <c r="C4" s="22" t="s">
        <v>77</v>
      </c>
      <c r="D4" s="23" t="s">
        <v>78</v>
      </c>
    </row>
    <row r="5" spans="2:4" x14ac:dyDescent="0.25">
      <c r="B5" s="88" t="s">
        <v>79</v>
      </c>
      <c r="C5" s="89">
        <v>43064</v>
      </c>
      <c r="D5" s="6" t="str">
        <f t="shared" ref="D5:D29" ca="1" si="0">IF(C5="","",IF(C5=TODAY(),"É hoje!!",IF(AND(NOW()-DATE(YEAR(NOW()),MONTH(C5),DAY(C5))&gt;=-7,NOW()-DATE(YEAR(NOW()),MONTH(C5),DAY(C5))&lt;1),"tá chegando!",IF(AND(NOW()-DATE(YEAR(NOW()),MONTH(C5),DAY(C5))&lt;=7,NOW()-DATE(YEAR(NOW()),MONTH(C5),DAY(C5))&gt;1),"Passou!","Longe ainda"))))</f>
        <v>Longe ainda</v>
      </c>
    </row>
    <row r="6" spans="2:4" x14ac:dyDescent="0.25">
      <c r="B6" s="88" t="s">
        <v>80</v>
      </c>
      <c r="C6" s="89">
        <v>41670</v>
      </c>
      <c r="D6" s="6" t="str">
        <f t="shared" ca="1" si="0"/>
        <v>Longe ainda</v>
      </c>
    </row>
    <row r="7" spans="2:4" x14ac:dyDescent="0.25">
      <c r="B7" s="88" t="s">
        <v>81</v>
      </c>
      <c r="C7" s="89">
        <v>43059</v>
      </c>
      <c r="D7" s="6" t="str">
        <f t="shared" ca="1" si="0"/>
        <v>Longe ainda</v>
      </c>
    </row>
    <row r="8" spans="2:4" x14ac:dyDescent="0.25">
      <c r="B8" s="88" t="s">
        <v>82</v>
      </c>
      <c r="C8" s="89">
        <v>41741</v>
      </c>
      <c r="D8" s="6" t="str">
        <f t="shared" ca="1" si="0"/>
        <v>Longe ainda</v>
      </c>
    </row>
    <row r="9" spans="2:4" x14ac:dyDescent="0.25">
      <c r="B9" s="88" t="s">
        <v>83</v>
      </c>
      <c r="C9" s="89">
        <v>43062</v>
      </c>
      <c r="D9" s="6" t="str">
        <f t="shared" ca="1" si="0"/>
        <v>Longe ainda</v>
      </c>
    </row>
    <row r="10" spans="2:4" x14ac:dyDescent="0.25">
      <c r="B10" s="88" t="s">
        <v>84</v>
      </c>
      <c r="C10" s="89">
        <v>41844</v>
      </c>
      <c r="D10" s="6" t="str">
        <f t="shared" ca="1" si="0"/>
        <v>Longe ainda</v>
      </c>
    </row>
    <row r="11" spans="2:4" x14ac:dyDescent="0.25">
      <c r="B11" s="88" t="s">
        <v>85</v>
      </c>
      <c r="C11" s="89">
        <v>41852</v>
      </c>
      <c r="D11" s="6" t="str">
        <f t="shared" ca="1" si="0"/>
        <v>Longe ainda</v>
      </c>
    </row>
    <row r="12" spans="2:4" x14ac:dyDescent="0.25">
      <c r="B12" s="88" t="s">
        <v>86</v>
      </c>
      <c r="C12" s="89">
        <v>41874</v>
      </c>
      <c r="D12" s="6" t="str">
        <f t="shared" ca="1" si="0"/>
        <v>Longe ainda</v>
      </c>
    </row>
    <row r="13" spans="2:4" x14ac:dyDescent="0.25">
      <c r="B13" s="88" t="s">
        <v>87</v>
      </c>
      <c r="C13" s="89">
        <v>41899</v>
      </c>
      <c r="D13" s="6" t="str">
        <f t="shared" ca="1" si="0"/>
        <v>Longe ainda</v>
      </c>
    </row>
    <row r="14" spans="2:4" x14ac:dyDescent="0.25">
      <c r="B14" s="88" t="s">
        <v>88</v>
      </c>
      <c r="C14" s="89">
        <v>41974</v>
      </c>
      <c r="D14" s="6" t="str">
        <f t="shared" ca="1" si="0"/>
        <v>Longe ainda</v>
      </c>
    </row>
    <row r="15" spans="2:4" x14ac:dyDescent="0.25">
      <c r="B15" s="88"/>
      <c r="C15" s="89"/>
      <c r="D15" s="6" t="str">
        <f t="shared" ca="1" si="0"/>
        <v/>
      </c>
    </row>
    <row r="16" spans="2:4" x14ac:dyDescent="0.25">
      <c r="B16" s="88"/>
      <c r="C16" s="89"/>
      <c r="D16" s="6" t="str">
        <f t="shared" ca="1" si="0"/>
        <v/>
      </c>
    </row>
    <row r="17" spans="2:9" ht="15.75" x14ac:dyDescent="0.25">
      <c r="B17" s="88"/>
      <c r="C17" s="89"/>
      <c r="D17" s="6" t="str">
        <f t="shared" ca="1" si="0"/>
        <v/>
      </c>
      <c r="G17" s="197" t="s">
        <v>45</v>
      </c>
      <c r="H17" s="197"/>
      <c r="I17" s="197"/>
    </row>
    <row r="18" spans="2:9" x14ac:dyDescent="0.25">
      <c r="B18" s="88"/>
      <c r="C18" s="89"/>
      <c r="D18" s="6" t="str">
        <f t="shared" ca="1" si="0"/>
        <v/>
      </c>
    </row>
    <row r="19" spans="2:9" x14ac:dyDescent="0.25">
      <c r="B19" s="88"/>
      <c r="C19" s="89"/>
      <c r="D19" s="6" t="str">
        <f t="shared" ca="1" si="0"/>
        <v/>
      </c>
    </row>
    <row r="20" spans="2:9" x14ac:dyDescent="0.25">
      <c r="B20" s="88"/>
      <c r="C20" s="89"/>
      <c r="D20" s="6" t="str">
        <f t="shared" ca="1" si="0"/>
        <v/>
      </c>
    </row>
    <row r="21" spans="2:9" x14ac:dyDescent="0.25">
      <c r="B21" s="88"/>
      <c r="C21" s="89"/>
      <c r="D21" s="6" t="str">
        <f t="shared" ca="1" si="0"/>
        <v/>
      </c>
    </row>
    <row r="22" spans="2:9" x14ac:dyDescent="0.25">
      <c r="B22" s="88"/>
      <c r="C22" s="89"/>
      <c r="D22" s="6" t="str">
        <f t="shared" ca="1" si="0"/>
        <v/>
      </c>
    </row>
    <row r="23" spans="2:9" x14ac:dyDescent="0.25">
      <c r="B23" s="88"/>
      <c r="C23" s="89"/>
      <c r="D23" s="6" t="str">
        <f t="shared" ca="1" si="0"/>
        <v/>
      </c>
    </row>
    <row r="24" spans="2:9" x14ac:dyDescent="0.25">
      <c r="B24" s="88"/>
      <c r="C24" s="89"/>
      <c r="D24" s="6" t="str">
        <f t="shared" ca="1" si="0"/>
        <v/>
      </c>
    </row>
    <row r="25" spans="2:9" x14ac:dyDescent="0.25">
      <c r="B25" s="88"/>
      <c r="C25" s="89"/>
      <c r="D25" s="6" t="str">
        <f t="shared" ca="1" si="0"/>
        <v/>
      </c>
    </row>
    <row r="26" spans="2:9" x14ac:dyDescent="0.25">
      <c r="B26" s="88"/>
      <c r="C26" s="89"/>
      <c r="D26" s="6" t="str">
        <f t="shared" ca="1" si="0"/>
        <v/>
      </c>
    </row>
    <row r="27" spans="2:9" x14ac:dyDescent="0.25">
      <c r="B27" s="88"/>
      <c r="C27" s="89"/>
      <c r="D27" s="6" t="str">
        <f t="shared" ca="1" si="0"/>
        <v/>
      </c>
    </row>
    <row r="28" spans="2:9" x14ac:dyDescent="0.25">
      <c r="B28" s="88"/>
      <c r="C28" s="89"/>
      <c r="D28" s="6" t="str">
        <f t="shared" ca="1" si="0"/>
        <v/>
      </c>
    </row>
    <row r="29" spans="2:9" x14ac:dyDescent="0.25">
      <c r="B29" s="88"/>
      <c r="C29" s="89"/>
      <c r="D29" s="6" t="str">
        <f t="shared" ca="1" si="0"/>
        <v/>
      </c>
    </row>
    <row r="30" spans="2:9" s="20" customFormat="1" x14ac:dyDescent="0.25">
      <c r="D30" s="87"/>
    </row>
  </sheetData>
  <sheetProtection algorithmName="SHA-512" hashValue="NMg+BLN2yV5/2+C9tOMAAM7zBSMI6I2E/SgBwBEnDguRbKxRLJOq1qk5NuurT8kXWdm6sGEqbKPcuaMePJ+rDg==" saltValue="z6Sr59zOPrVQNce6u/EHdg==" spinCount="100000" sheet="1" objects="1" scenarios="1" selectLockedCells="1"/>
  <mergeCells count="2">
    <mergeCell ref="B2:D2"/>
    <mergeCell ref="G17:I17"/>
  </mergeCells>
  <hyperlinks>
    <hyperlink ref="G17" r:id="rId1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365</vt:i4>
      </vt:variant>
    </vt:vector>
  </HeadingPairs>
  <TitlesOfParts>
    <vt:vector size="380" baseType="lpstr">
      <vt:lpstr>Início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Contas a Pagar</vt:lpstr>
      <vt:lpstr>Aniversários</vt:lpstr>
      <vt:lpstr>Abril!_Dia1</vt:lpstr>
      <vt:lpstr>Agosto!_Dia1</vt:lpstr>
      <vt:lpstr>Dezembro!_Dia1</vt:lpstr>
      <vt:lpstr>Fevereiro!_Dia1</vt:lpstr>
      <vt:lpstr>Janeiro!_Dia1</vt:lpstr>
      <vt:lpstr>Julho!_Dia1</vt:lpstr>
      <vt:lpstr>Junho!_Dia1</vt:lpstr>
      <vt:lpstr>Maio!_Dia1</vt:lpstr>
      <vt:lpstr>Março!_Dia1</vt:lpstr>
      <vt:lpstr>Outubro!_Dia1</vt:lpstr>
      <vt:lpstr>Setembro!_Dia1</vt:lpstr>
      <vt:lpstr>_Dia1</vt:lpstr>
      <vt:lpstr>Abril!_Dia10</vt:lpstr>
      <vt:lpstr>Agosto!_Dia10</vt:lpstr>
      <vt:lpstr>Dezembro!_Dia10</vt:lpstr>
      <vt:lpstr>Fevereiro!_Dia10</vt:lpstr>
      <vt:lpstr>Janeiro!_Dia10</vt:lpstr>
      <vt:lpstr>Julho!_Dia10</vt:lpstr>
      <vt:lpstr>Junho!_Dia10</vt:lpstr>
      <vt:lpstr>Maio!_Dia10</vt:lpstr>
      <vt:lpstr>Março!_Dia10</vt:lpstr>
      <vt:lpstr>Novembro!_Dia10</vt:lpstr>
      <vt:lpstr>Outubro!_Dia10</vt:lpstr>
      <vt:lpstr>Setembro!_Dia10</vt:lpstr>
      <vt:lpstr>Abril!_Dia11</vt:lpstr>
      <vt:lpstr>Agosto!_Dia11</vt:lpstr>
      <vt:lpstr>Dezembro!_Dia11</vt:lpstr>
      <vt:lpstr>Fevereiro!_Dia11</vt:lpstr>
      <vt:lpstr>Janeiro!_Dia11</vt:lpstr>
      <vt:lpstr>Julho!_Dia11</vt:lpstr>
      <vt:lpstr>Junho!_Dia11</vt:lpstr>
      <vt:lpstr>Maio!_Dia11</vt:lpstr>
      <vt:lpstr>Março!_Dia11</vt:lpstr>
      <vt:lpstr>Novembro!_Dia11</vt:lpstr>
      <vt:lpstr>Outubro!_Dia11</vt:lpstr>
      <vt:lpstr>Setembro!_Dia11</vt:lpstr>
      <vt:lpstr>Abril!_Dia12</vt:lpstr>
      <vt:lpstr>Agosto!_Dia12</vt:lpstr>
      <vt:lpstr>Dezembro!_Dia12</vt:lpstr>
      <vt:lpstr>Fevereiro!_Dia12</vt:lpstr>
      <vt:lpstr>Janeiro!_Dia12</vt:lpstr>
      <vt:lpstr>Julho!_Dia12</vt:lpstr>
      <vt:lpstr>Junho!_Dia12</vt:lpstr>
      <vt:lpstr>Maio!_Dia12</vt:lpstr>
      <vt:lpstr>Março!_Dia12</vt:lpstr>
      <vt:lpstr>Novembro!_Dia12</vt:lpstr>
      <vt:lpstr>Outubro!_Dia12</vt:lpstr>
      <vt:lpstr>Setembro!_Dia12</vt:lpstr>
      <vt:lpstr>Abril!_Dia13</vt:lpstr>
      <vt:lpstr>Agosto!_Dia13</vt:lpstr>
      <vt:lpstr>Dezembro!_Dia13</vt:lpstr>
      <vt:lpstr>Fevereiro!_Dia13</vt:lpstr>
      <vt:lpstr>Janeiro!_Dia13</vt:lpstr>
      <vt:lpstr>Julho!_Dia13</vt:lpstr>
      <vt:lpstr>Junho!_Dia13</vt:lpstr>
      <vt:lpstr>Maio!_Dia13</vt:lpstr>
      <vt:lpstr>Março!_Dia13</vt:lpstr>
      <vt:lpstr>Novembro!_Dia13</vt:lpstr>
      <vt:lpstr>Outubro!_Dia13</vt:lpstr>
      <vt:lpstr>Setembro!_Dia13</vt:lpstr>
      <vt:lpstr>Abril!_Dia14</vt:lpstr>
      <vt:lpstr>Agosto!_Dia14</vt:lpstr>
      <vt:lpstr>Dezembro!_Dia14</vt:lpstr>
      <vt:lpstr>Fevereiro!_Dia14</vt:lpstr>
      <vt:lpstr>Janeiro!_Dia14</vt:lpstr>
      <vt:lpstr>Julho!_Dia14</vt:lpstr>
      <vt:lpstr>Junho!_Dia14</vt:lpstr>
      <vt:lpstr>Maio!_Dia14</vt:lpstr>
      <vt:lpstr>Março!_Dia14</vt:lpstr>
      <vt:lpstr>Novembro!_Dia14</vt:lpstr>
      <vt:lpstr>Outubro!_Dia14</vt:lpstr>
      <vt:lpstr>Setembro!_Dia14</vt:lpstr>
      <vt:lpstr>Abril!_Dia15</vt:lpstr>
      <vt:lpstr>Agosto!_Dia15</vt:lpstr>
      <vt:lpstr>Dezembro!_Dia15</vt:lpstr>
      <vt:lpstr>Fevereiro!_Dia15</vt:lpstr>
      <vt:lpstr>Janeiro!_Dia15</vt:lpstr>
      <vt:lpstr>Julho!_Dia15</vt:lpstr>
      <vt:lpstr>Junho!_Dia15</vt:lpstr>
      <vt:lpstr>Maio!_Dia15</vt:lpstr>
      <vt:lpstr>Março!_Dia15</vt:lpstr>
      <vt:lpstr>Novembro!_Dia15</vt:lpstr>
      <vt:lpstr>Outubro!_Dia15</vt:lpstr>
      <vt:lpstr>Setembro!_Dia15</vt:lpstr>
      <vt:lpstr>Abril!_Dia16</vt:lpstr>
      <vt:lpstr>Agosto!_Dia16</vt:lpstr>
      <vt:lpstr>Dezembro!_Dia16</vt:lpstr>
      <vt:lpstr>Fevereiro!_Dia16</vt:lpstr>
      <vt:lpstr>Janeiro!_Dia16</vt:lpstr>
      <vt:lpstr>Julho!_Dia16</vt:lpstr>
      <vt:lpstr>Junho!_Dia16</vt:lpstr>
      <vt:lpstr>Maio!_Dia16</vt:lpstr>
      <vt:lpstr>Março!_Dia16</vt:lpstr>
      <vt:lpstr>Novembro!_Dia16</vt:lpstr>
      <vt:lpstr>Outubro!_Dia16</vt:lpstr>
      <vt:lpstr>Setembro!_Dia16</vt:lpstr>
      <vt:lpstr>Abril!_Dia17</vt:lpstr>
      <vt:lpstr>Agosto!_Dia17</vt:lpstr>
      <vt:lpstr>Dezembro!_Dia17</vt:lpstr>
      <vt:lpstr>Fevereiro!_Dia17</vt:lpstr>
      <vt:lpstr>Janeiro!_Dia17</vt:lpstr>
      <vt:lpstr>Julho!_Dia17</vt:lpstr>
      <vt:lpstr>Junho!_Dia17</vt:lpstr>
      <vt:lpstr>Maio!_Dia17</vt:lpstr>
      <vt:lpstr>Março!_Dia17</vt:lpstr>
      <vt:lpstr>Novembro!_Dia17</vt:lpstr>
      <vt:lpstr>Outubro!_Dia17</vt:lpstr>
      <vt:lpstr>Setembro!_Dia17</vt:lpstr>
      <vt:lpstr>Abril!_Dia18</vt:lpstr>
      <vt:lpstr>Agosto!_Dia18</vt:lpstr>
      <vt:lpstr>Dezembro!_Dia18</vt:lpstr>
      <vt:lpstr>Fevereiro!_Dia18</vt:lpstr>
      <vt:lpstr>Janeiro!_Dia18</vt:lpstr>
      <vt:lpstr>Julho!_Dia18</vt:lpstr>
      <vt:lpstr>Junho!_Dia18</vt:lpstr>
      <vt:lpstr>Maio!_Dia18</vt:lpstr>
      <vt:lpstr>Março!_Dia18</vt:lpstr>
      <vt:lpstr>Novembro!_Dia18</vt:lpstr>
      <vt:lpstr>Outubro!_Dia18</vt:lpstr>
      <vt:lpstr>Setembro!_Dia18</vt:lpstr>
      <vt:lpstr>Abril!_Dia19</vt:lpstr>
      <vt:lpstr>Agosto!_Dia19</vt:lpstr>
      <vt:lpstr>Dezembro!_Dia19</vt:lpstr>
      <vt:lpstr>Fevereiro!_Dia19</vt:lpstr>
      <vt:lpstr>Janeiro!_Dia19</vt:lpstr>
      <vt:lpstr>Julho!_Dia19</vt:lpstr>
      <vt:lpstr>Junho!_Dia19</vt:lpstr>
      <vt:lpstr>Maio!_Dia19</vt:lpstr>
      <vt:lpstr>Março!_Dia19</vt:lpstr>
      <vt:lpstr>Novembro!_Dia19</vt:lpstr>
      <vt:lpstr>Outubro!_Dia19</vt:lpstr>
      <vt:lpstr>Setembro!_Dia19</vt:lpstr>
      <vt:lpstr>Abril!_Dia2</vt:lpstr>
      <vt:lpstr>Agosto!_Dia2</vt:lpstr>
      <vt:lpstr>Dezembro!_Dia2</vt:lpstr>
      <vt:lpstr>Fevereiro!_Dia2</vt:lpstr>
      <vt:lpstr>Janeiro!_Dia2</vt:lpstr>
      <vt:lpstr>Julho!_Dia2</vt:lpstr>
      <vt:lpstr>Junho!_Dia2</vt:lpstr>
      <vt:lpstr>Maio!_Dia2</vt:lpstr>
      <vt:lpstr>Março!_Dia2</vt:lpstr>
      <vt:lpstr>Novembro!_Dia2</vt:lpstr>
      <vt:lpstr>Outubro!_Dia2</vt:lpstr>
      <vt:lpstr>Setembro!_Dia2</vt:lpstr>
      <vt:lpstr>Abril!_Dia20</vt:lpstr>
      <vt:lpstr>Agosto!_Dia20</vt:lpstr>
      <vt:lpstr>Dezembro!_Dia20</vt:lpstr>
      <vt:lpstr>Fevereiro!_Dia20</vt:lpstr>
      <vt:lpstr>Janeiro!_Dia20</vt:lpstr>
      <vt:lpstr>Julho!_Dia20</vt:lpstr>
      <vt:lpstr>Junho!_Dia20</vt:lpstr>
      <vt:lpstr>Maio!_Dia20</vt:lpstr>
      <vt:lpstr>Março!_Dia20</vt:lpstr>
      <vt:lpstr>Novembro!_Dia20</vt:lpstr>
      <vt:lpstr>Outubro!_Dia20</vt:lpstr>
      <vt:lpstr>Setembro!_Dia20</vt:lpstr>
      <vt:lpstr>Abril!_Dia21</vt:lpstr>
      <vt:lpstr>Agosto!_Dia21</vt:lpstr>
      <vt:lpstr>Dezembro!_Dia21</vt:lpstr>
      <vt:lpstr>Fevereiro!_Dia21</vt:lpstr>
      <vt:lpstr>Janeiro!_Dia21</vt:lpstr>
      <vt:lpstr>Julho!_Dia21</vt:lpstr>
      <vt:lpstr>Junho!_Dia21</vt:lpstr>
      <vt:lpstr>Maio!_Dia21</vt:lpstr>
      <vt:lpstr>Março!_Dia21</vt:lpstr>
      <vt:lpstr>Novembro!_Dia21</vt:lpstr>
      <vt:lpstr>Outubro!_Dia21</vt:lpstr>
      <vt:lpstr>Setembro!_Dia21</vt:lpstr>
      <vt:lpstr>Abril!_Dia22</vt:lpstr>
      <vt:lpstr>Agosto!_Dia22</vt:lpstr>
      <vt:lpstr>Dezembro!_Dia22</vt:lpstr>
      <vt:lpstr>Fevereiro!_Dia22</vt:lpstr>
      <vt:lpstr>Janeiro!_Dia22</vt:lpstr>
      <vt:lpstr>Julho!_Dia22</vt:lpstr>
      <vt:lpstr>Junho!_Dia22</vt:lpstr>
      <vt:lpstr>Maio!_Dia22</vt:lpstr>
      <vt:lpstr>Março!_Dia22</vt:lpstr>
      <vt:lpstr>Novembro!_Dia22</vt:lpstr>
      <vt:lpstr>Outubro!_Dia22</vt:lpstr>
      <vt:lpstr>Setembro!_Dia22</vt:lpstr>
      <vt:lpstr>Abril!_Dia23</vt:lpstr>
      <vt:lpstr>Agosto!_Dia23</vt:lpstr>
      <vt:lpstr>Dezembro!_Dia23</vt:lpstr>
      <vt:lpstr>Fevereiro!_Dia23</vt:lpstr>
      <vt:lpstr>Janeiro!_Dia23</vt:lpstr>
      <vt:lpstr>Julho!_Dia23</vt:lpstr>
      <vt:lpstr>Junho!_Dia23</vt:lpstr>
      <vt:lpstr>Maio!_Dia23</vt:lpstr>
      <vt:lpstr>Março!_Dia23</vt:lpstr>
      <vt:lpstr>Novembro!_Dia23</vt:lpstr>
      <vt:lpstr>Outubro!_Dia23</vt:lpstr>
      <vt:lpstr>Setembro!_Dia23</vt:lpstr>
      <vt:lpstr>Abril!_Dia24</vt:lpstr>
      <vt:lpstr>Agosto!_Dia24</vt:lpstr>
      <vt:lpstr>Dezembro!_Dia24</vt:lpstr>
      <vt:lpstr>Fevereiro!_Dia24</vt:lpstr>
      <vt:lpstr>Janeiro!_Dia24</vt:lpstr>
      <vt:lpstr>Julho!_Dia24</vt:lpstr>
      <vt:lpstr>Junho!_Dia24</vt:lpstr>
      <vt:lpstr>Maio!_Dia24</vt:lpstr>
      <vt:lpstr>Março!_Dia24</vt:lpstr>
      <vt:lpstr>Novembro!_Dia24</vt:lpstr>
      <vt:lpstr>Outubro!_Dia24</vt:lpstr>
      <vt:lpstr>Setembro!_Dia24</vt:lpstr>
      <vt:lpstr>Abril!_Dia25</vt:lpstr>
      <vt:lpstr>Agosto!_Dia25</vt:lpstr>
      <vt:lpstr>Dezembro!_Dia25</vt:lpstr>
      <vt:lpstr>Fevereiro!_Dia25</vt:lpstr>
      <vt:lpstr>Janeiro!_Dia25</vt:lpstr>
      <vt:lpstr>Julho!_Dia25</vt:lpstr>
      <vt:lpstr>Junho!_Dia25</vt:lpstr>
      <vt:lpstr>Maio!_Dia25</vt:lpstr>
      <vt:lpstr>Março!_Dia25</vt:lpstr>
      <vt:lpstr>Novembro!_Dia25</vt:lpstr>
      <vt:lpstr>Outubro!_Dia25</vt:lpstr>
      <vt:lpstr>Setembro!_Dia25</vt:lpstr>
      <vt:lpstr>Abril!_Dia26</vt:lpstr>
      <vt:lpstr>Agosto!_Dia26</vt:lpstr>
      <vt:lpstr>Dezembro!_Dia26</vt:lpstr>
      <vt:lpstr>Fevereiro!_Dia26</vt:lpstr>
      <vt:lpstr>Janeiro!_Dia26</vt:lpstr>
      <vt:lpstr>Julho!_Dia26</vt:lpstr>
      <vt:lpstr>Junho!_Dia26</vt:lpstr>
      <vt:lpstr>Maio!_Dia26</vt:lpstr>
      <vt:lpstr>Março!_Dia26</vt:lpstr>
      <vt:lpstr>Novembro!_Dia26</vt:lpstr>
      <vt:lpstr>Outubro!_Dia26</vt:lpstr>
      <vt:lpstr>Setembro!_Dia26</vt:lpstr>
      <vt:lpstr>Abril!_Dia27</vt:lpstr>
      <vt:lpstr>Agosto!_Dia27</vt:lpstr>
      <vt:lpstr>Dezembro!_Dia27</vt:lpstr>
      <vt:lpstr>Fevereiro!_Dia27</vt:lpstr>
      <vt:lpstr>Janeiro!_Dia27</vt:lpstr>
      <vt:lpstr>Julho!_Dia27</vt:lpstr>
      <vt:lpstr>Junho!_Dia27</vt:lpstr>
      <vt:lpstr>Maio!_Dia27</vt:lpstr>
      <vt:lpstr>Março!_Dia27</vt:lpstr>
      <vt:lpstr>Novembro!_Dia27</vt:lpstr>
      <vt:lpstr>Outubro!_Dia27</vt:lpstr>
      <vt:lpstr>Setembro!_Dia27</vt:lpstr>
      <vt:lpstr>Abril!_Dia28</vt:lpstr>
      <vt:lpstr>Agosto!_Dia28</vt:lpstr>
      <vt:lpstr>Dezembro!_Dia28</vt:lpstr>
      <vt:lpstr>Fevereiro!_Dia28</vt:lpstr>
      <vt:lpstr>Janeiro!_Dia28</vt:lpstr>
      <vt:lpstr>Julho!_Dia28</vt:lpstr>
      <vt:lpstr>Junho!_Dia28</vt:lpstr>
      <vt:lpstr>Maio!_Dia28</vt:lpstr>
      <vt:lpstr>Março!_Dia28</vt:lpstr>
      <vt:lpstr>Novembro!_Dia28</vt:lpstr>
      <vt:lpstr>Outubro!_Dia28</vt:lpstr>
      <vt:lpstr>Setembro!_Dia28</vt:lpstr>
      <vt:lpstr>Abril!_Dia29</vt:lpstr>
      <vt:lpstr>Agosto!_Dia29</vt:lpstr>
      <vt:lpstr>Dezembro!_Dia29</vt:lpstr>
      <vt:lpstr>Janeiro!_DIa29</vt:lpstr>
      <vt:lpstr>Julho!_Dia29</vt:lpstr>
      <vt:lpstr>Junho!_Dia29</vt:lpstr>
      <vt:lpstr>Maio!_Dia29</vt:lpstr>
      <vt:lpstr>Março!_Dia29</vt:lpstr>
      <vt:lpstr>Novembro!_Dia29</vt:lpstr>
      <vt:lpstr>Outubro!_Dia29</vt:lpstr>
      <vt:lpstr>Setembro!_Dia29</vt:lpstr>
      <vt:lpstr>Abril!_Dia3</vt:lpstr>
      <vt:lpstr>Agosto!_Dia3</vt:lpstr>
      <vt:lpstr>Dezembro!_Dia3</vt:lpstr>
      <vt:lpstr>Fevereiro!_Dia3</vt:lpstr>
      <vt:lpstr>Janeiro!_Dia3</vt:lpstr>
      <vt:lpstr>Julho!_Dia3</vt:lpstr>
      <vt:lpstr>Junho!_Dia3</vt:lpstr>
      <vt:lpstr>Maio!_Dia3</vt:lpstr>
      <vt:lpstr>Março!_Dia3</vt:lpstr>
      <vt:lpstr>Novembro!_Dia3</vt:lpstr>
      <vt:lpstr>Outubro!_Dia3</vt:lpstr>
      <vt:lpstr>Setembro!_Dia3</vt:lpstr>
      <vt:lpstr>Abril!_Dia30</vt:lpstr>
      <vt:lpstr>Agosto!_Dia30</vt:lpstr>
      <vt:lpstr>Dezembro!_Dia30</vt:lpstr>
      <vt:lpstr>Janeiro!_Dia30</vt:lpstr>
      <vt:lpstr>Julho!_Dia30</vt:lpstr>
      <vt:lpstr>Junho!_Dia30</vt:lpstr>
      <vt:lpstr>Maio!_Dia30</vt:lpstr>
      <vt:lpstr>Março!_Dia30</vt:lpstr>
      <vt:lpstr>Novembro!_Dia30</vt:lpstr>
      <vt:lpstr>Outubro!_Dia30</vt:lpstr>
      <vt:lpstr>Setembro!_Dia30</vt:lpstr>
      <vt:lpstr>Agosto!_Dia31</vt:lpstr>
      <vt:lpstr>Dezembro!_Dia31</vt:lpstr>
      <vt:lpstr>Janeiro!_Dia31</vt:lpstr>
      <vt:lpstr>Julho!_Dia31</vt:lpstr>
      <vt:lpstr>Maio!_Dia31</vt:lpstr>
      <vt:lpstr>Março!_Dia31</vt:lpstr>
      <vt:lpstr>Outubro!_Dia31</vt:lpstr>
      <vt:lpstr>Abril!_Dia4</vt:lpstr>
      <vt:lpstr>Agosto!_Dia4</vt:lpstr>
      <vt:lpstr>Dezembro!_Dia4</vt:lpstr>
      <vt:lpstr>Fevereiro!_Dia4</vt:lpstr>
      <vt:lpstr>Janeiro!_Dia4</vt:lpstr>
      <vt:lpstr>Julho!_Dia4</vt:lpstr>
      <vt:lpstr>Junho!_Dia4</vt:lpstr>
      <vt:lpstr>Maio!_Dia4</vt:lpstr>
      <vt:lpstr>Março!_Dia4</vt:lpstr>
      <vt:lpstr>Novembro!_Dia4</vt:lpstr>
      <vt:lpstr>Outubro!_Dia4</vt:lpstr>
      <vt:lpstr>Setembro!_Dia4</vt:lpstr>
      <vt:lpstr>Abril!_Dia5</vt:lpstr>
      <vt:lpstr>Agosto!_Dia5</vt:lpstr>
      <vt:lpstr>Dezembro!_Dia5</vt:lpstr>
      <vt:lpstr>Fevereiro!_Dia5</vt:lpstr>
      <vt:lpstr>Janeiro!_Dia5</vt:lpstr>
      <vt:lpstr>Julho!_Dia5</vt:lpstr>
      <vt:lpstr>Junho!_Dia5</vt:lpstr>
      <vt:lpstr>Maio!_Dia5</vt:lpstr>
      <vt:lpstr>Março!_Dia5</vt:lpstr>
      <vt:lpstr>Novembro!_Dia5</vt:lpstr>
      <vt:lpstr>Outubro!_Dia5</vt:lpstr>
      <vt:lpstr>Setembro!_Dia5</vt:lpstr>
      <vt:lpstr>Abril!_Dia6</vt:lpstr>
      <vt:lpstr>Agosto!_Dia6</vt:lpstr>
      <vt:lpstr>Dezembro!_Dia6</vt:lpstr>
      <vt:lpstr>Fevereiro!_Dia6</vt:lpstr>
      <vt:lpstr>Janeiro!_Dia6</vt:lpstr>
      <vt:lpstr>Julho!_Dia6</vt:lpstr>
      <vt:lpstr>Junho!_Dia6</vt:lpstr>
      <vt:lpstr>Maio!_Dia6</vt:lpstr>
      <vt:lpstr>Março!_Dia6</vt:lpstr>
      <vt:lpstr>Novembro!_Dia6</vt:lpstr>
      <vt:lpstr>Outubro!_Dia6</vt:lpstr>
      <vt:lpstr>Setembro!_Dia6</vt:lpstr>
      <vt:lpstr>Abril!_Dia7</vt:lpstr>
      <vt:lpstr>Agosto!_Dia7</vt:lpstr>
      <vt:lpstr>Dezembro!_Dia7</vt:lpstr>
      <vt:lpstr>Fevereiro!_Dia7</vt:lpstr>
      <vt:lpstr>Janeiro!_Dia7</vt:lpstr>
      <vt:lpstr>Julho!_Dia7</vt:lpstr>
      <vt:lpstr>Junho!_Dia7</vt:lpstr>
      <vt:lpstr>Maio!_Dia7</vt:lpstr>
      <vt:lpstr>Março!_Dia7</vt:lpstr>
      <vt:lpstr>Novembro!_Dia7</vt:lpstr>
      <vt:lpstr>Outubro!_Dia7</vt:lpstr>
      <vt:lpstr>Setembro!_Dia7</vt:lpstr>
      <vt:lpstr>Abril!_Dia8</vt:lpstr>
      <vt:lpstr>Agosto!_Dia8</vt:lpstr>
      <vt:lpstr>Dezembro!_Dia8</vt:lpstr>
      <vt:lpstr>Fevereiro!_Dia8</vt:lpstr>
      <vt:lpstr>Janeiro!_Dia8</vt:lpstr>
      <vt:lpstr>Julho!_Dia8</vt:lpstr>
      <vt:lpstr>Junho!_Dia8</vt:lpstr>
      <vt:lpstr>Maio!_Dia8</vt:lpstr>
      <vt:lpstr>Março!_Dia8</vt:lpstr>
      <vt:lpstr>Novembro!_Dia8</vt:lpstr>
      <vt:lpstr>Outubro!_Dia8</vt:lpstr>
      <vt:lpstr>Setembro!_Dia8</vt:lpstr>
      <vt:lpstr>Abril!_Dia9</vt:lpstr>
      <vt:lpstr>Agosto!_Dia9</vt:lpstr>
      <vt:lpstr>Dezembro!_Dia9</vt:lpstr>
      <vt:lpstr>Fevereiro!_Dia9</vt:lpstr>
      <vt:lpstr>Janeiro!_Dia9</vt:lpstr>
      <vt:lpstr>Julho!_Dia9</vt:lpstr>
      <vt:lpstr>Junho!_Dia9</vt:lpstr>
      <vt:lpstr>Maio!_Dia9</vt:lpstr>
      <vt:lpstr>Março!_Dia9</vt:lpstr>
      <vt:lpstr>Novembro!_Dia9</vt:lpstr>
      <vt:lpstr>Outubro!_Dia9</vt:lpstr>
      <vt:lpstr>Setembro!_Dia9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 Meyer</dc:creator>
  <cp:lastModifiedBy>Ítalo Rodrigo</cp:lastModifiedBy>
  <dcterms:created xsi:type="dcterms:W3CDTF">2015-01-27T12:28:52Z</dcterms:created>
  <dcterms:modified xsi:type="dcterms:W3CDTF">2018-04-30T16:44:00Z</dcterms:modified>
</cp:coreProperties>
</file>